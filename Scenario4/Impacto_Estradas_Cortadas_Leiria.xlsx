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0. Contexto e Metodologia" sheetId="2" state="visible" r:id="rId2"/>
    <sheet name="1. Comparação por Freguesia" sheetId="3" state="visible" r:id="rId3"/>
    <sheet name="2. Resumo por Concelho" sheetId="4" state="visible" r:id="rId4"/>
    <sheet name="_Charts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sz val="10"/>
    </font>
    <font>
      <i val="1"/>
      <color rgb="00666666"/>
      <sz val="9"/>
    </font>
    <font>
      <b val="1"/>
      <color rgb="00FFFFFF"/>
    </font>
    <font>
      <b val="1"/>
      <color rgb="00C00000"/>
      <sz val="14"/>
    </font>
    <font>
      <b val="1"/>
      <color rgb="00666666"/>
      <sz val="10"/>
    </font>
    <font>
      <b val="1"/>
      <color rgb="002E75B6"/>
      <sz val="18"/>
    </font>
    <font>
      <b val="1"/>
      <color rgb="00C00000"/>
      <sz val="18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/>
    </xf>
    <xf numFmtId="0" fontId="0" fillId="5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10 Freguesias Mais Penalizadas (min a mais no acesso)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'_ChartsData'!B1</f>
            </strRef>
          </tx>
          <spPr>
            <a:ln>
              <a:prstDash val="solid"/>
            </a:ln>
          </spPr>
          <cat>
            <numRef>
              <f>'_ChartsData'!$A$2:$A$11</f>
            </numRef>
          </cat>
          <val>
            <numRef>
              <f>'_ChartsData'!$B$2:$B$11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Minutos a mais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Tempo Médio de Acesso por Concelho: Normal vs Estradas Cortadas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'_ChartsData'!E1</f>
            </strRef>
          </tx>
          <spPr>
            <a:ln>
              <a:prstDash val="solid"/>
            </a:ln>
          </spPr>
          <cat>
            <numRef>
              <f>'_ChartsData'!$D$2:$D$17</f>
            </numRef>
          </cat>
          <val>
            <numRef>
              <f>'_ChartsData'!$E$2:$E$17</f>
            </numRef>
          </val>
        </ser>
        <ser>
          <idx val="1"/>
          <order val="1"/>
          <tx>
            <strRef>
              <f>'_ChartsData'!F1</f>
            </strRef>
          </tx>
          <spPr>
            <a:ln>
              <a:prstDash val="solid"/>
            </a:ln>
          </spPr>
          <cat>
            <numRef>
              <f>'_ChartsData'!$D$2:$D$17</f>
            </numRef>
          </cat>
          <val>
            <numRef>
              <f>'_ChartsData'!$F$2:$F$17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26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IMPACTO DO CORTE DE ESTRADAS — REGIÃO DE LEIRIA (Depressão Kristin, 28 jan 2026)</t>
        </is>
      </c>
    </row>
    <row r="4">
      <c r="B4" s="2" t="inlineStr">
        <is>
          <t>Tempo médio (normal)</t>
        </is>
      </c>
      <c r="C4" s="3" t="n"/>
      <c r="D4" s="2" t="inlineStr">
        <is>
          <t>Tempo médio (c/ cortes)</t>
        </is>
      </c>
      <c r="E4" s="3" t="n"/>
      <c r="F4" s="2" t="inlineStr">
        <is>
          <t>Aumento médio</t>
        </is>
      </c>
      <c r="G4" s="3" t="n"/>
      <c r="H4" s="2" t="inlineStr">
        <is>
          <t>Freguesias que passaram a críticas</t>
        </is>
      </c>
      <c r="I4" s="3" t="n"/>
    </row>
    <row r="5">
      <c r="B5" s="4" t="inlineStr">
        <is>
          <t>31.1 min</t>
        </is>
      </c>
      <c r="C5" s="3" t="n"/>
      <c r="D5" s="5" t="inlineStr">
        <is>
          <t>50.3 min</t>
        </is>
      </c>
      <c r="E5" s="3" t="n"/>
      <c r="F5" s="5" t="inlineStr">
        <is>
          <t>+19.2 min (61.7%)</t>
        </is>
      </c>
      <c r="G5" s="3" t="n"/>
      <c r="H5" s="5" t="inlineStr">
        <is>
          <t>37/110</t>
        </is>
      </c>
      <c r="I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</row>
    <row r="8">
      <c r="B8" s="6" t="inlineStr">
        <is>
          <t>Críticas (&gt;60min) antes: 5  |  depois do corte: 42  |  população nas freguesias que pioraram: 219,871 de 458,605 hab.</t>
        </is>
      </c>
    </row>
  </sheetData>
  <mergeCells count="8">
    <mergeCell ref="F4:G4"/>
    <mergeCell ref="B5:C6"/>
    <mergeCell ref="F5:G6"/>
    <mergeCell ref="D5:E6"/>
    <mergeCell ref="D4:E4"/>
    <mergeCell ref="H4:I4"/>
    <mergeCell ref="H5:I6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CENÁRIO: Depressão 'Kristin' (28 de janeiro de 2026) — a Proteção Civil e a CIM de Leiria</t>
        </is>
      </c>
    </row>
    <row r="2">
      <c r="A2" s="8" t="inlineStr">
        <is>
          <t>identificaram o distrito de Leiria como o mais afetado do país, com estradas cortadas,</t>
        </is>
      </c>
    </row>
    <row r="3">
      <c r="A3" s="8" t="inlineStr">
        <is>
          <t>falhas de energia e vários feridos/mortos. Fonte: Diário de Notícias,</t>
        </is>
      </c>
    </row>
    <row r="4">
      <c r="A4" s="8" t="inlineStr">
        <is>
          <t>https://www.dn.pt/sociedade/mau-tempo-um-morto-em-vila-franca-de-xira-estradas-cortadas-e-escolas-fechadas</t>
        </is>
      </c>
    </row>
    <row r="5">
      <c r="A5" s="8" t="inlineStr"/>
    </row>
    <row r="6">
      <c r="A6" s="8" t="inlineStr">
        <is>
          <t>Cortes de estrada reportados nesse dia na região de Leiria:</t>
        </is>
      </c>
    </row>
    <row r="7">
      <c r="A7" s="8" t="inlineStr">
        <is>
          <t xml:space="preserve"> - A1  cortada várias horas entre Pombal&lt;-&gt;Leiria e Torres Novas&lt;-&gt;Leiria</t>
        </is>
      </c>
    </row>
    <row r="8">
      <c r="A8" s="8" t="inlineStr">
        <is>
          <t xml:space="preserve"> - A23 cortada no nó de Torres Novas</t>
        </is>
      </c>
    </row>
    <row r="9">
      <c r="A9" s="8" t="inlineStr">
        <is>
          <t xml:space="preserve"> - IC2 com fortes constrangimentos na zona da Roca (Leiria)</t>
        </is>
      </c>
    </row>
    <row r="10">
      <c r="A10" s="8" t="inlineStr">
        <is>
          <t xml:space="preserve"> - EN109 (Leiria-Figueira da Foz) com dificuldades de circulação</t>
        </is>
      </c>
    </row>
    <row r="11">
      <c r="A11" s="8" t="inlineStr">
        <is>
          <t xml:space="preserve"> - EN236 (Lousã-Castanheira de Pêra) cortada ao trânsito</t>
        </is>
      </c>
    </row>
    <row r="12">
      <c r="A12" s="8" t="inlineStr"/>
    </row>
    <row r="13">
      <c r="A13" s="8" t="inlineStr">
        <is>
          <t>METODOLOGIA:</t>
        </is>
      </c>
    </row>
    <row r="14">
      <c r="A14" s="8" t="inlineStr">
        <is>
          <t xml:space="preserve"> - Cenário NORMAL: tempo de acesso por estrada (OSRM/OpenStreetMap), rede viária completa.</t>
        </is>
      </c>
    </row>
    <row r="15">
      <c r="A15" s="8" t="inlineStr">
        <is>
          <t xml:space="preserve"> - Cenário CORTADO: mesmo cálculo, mas com 'exclude=motorway' no OSRM — força o</t>
        </is>
      </c>
    </row>
    <row r="16">
      <c r="A16" s="8" t="inlineStr">
        <is>
          <t xml:space="preserve">   trajeto a evitar autoestradas/IP, aproximando o efeito do corte da A1/A23.</t>
        </is>
      </c>
    </row>
    <row r="17">
      <c r="A17" s="8" t="inlineStr">
        <is>
          <t xml:space="preserve"> - LIMITAÇÃO: o OSRM público só exclui CLASSES de via (autoestrada), não uma estrada</t>
        </is>
      </c>
    </row>
    <row r="18">
      <c r="A18" s="8" t="inlineStr">
        <is>
          <t xml:space="preserve">   nomeada específica. Por isso os cortes na IC2, EN109 e EN236 foram ADICIONADOS</t>
        </is>
      </c>
    </row>
    <row r="19">
      <c r="A19" s="8" t="inlineStr">
        <is>
          <t xml:space="preserve">   MANUALMENTE (ver tabela abaixo), em vez de calculados automaticamente pelo OSRM.</t>
        </is>
      </c>
    </row>
    <row r="20">
      <c r="A20" s="8" t="inlineStr">
        <is>
          <t xml:space="preserve"> - Crítico = tempo de acesso &gt; 60 minutos.</t>
        </is>
      </c>
    </row>
    <row r="21">
      <c r="A21" s="8" t="inlineStr"/>
    </row>
    <row r="22">
      <c r="A22" s="8" t="inlineStr">
        <is>
          <t>PENALIZAÇÕES MANUAIS APLICADAS (por concelho, somadas ao tempo 'Cortado' do OSRM):</t>
        </is>
      </c>
    </row>
    <row r="23">
      <c r="A23" s="8" t="inlineStr">
        <is>
          <t xml:space="preserve">  Castanheira de Pêra   +20 min  -&gt;  EN236 Lousã-Castanheira de Pêra 'cortada ao trânsito' (corte total)</t>
        </is>
      </c>
    </row>
    <row r="24">
      <c r="A24" s="8" t="inlineStr">
        <is>
          <t xml:space="preserve">  Leiria                +10 min  -&gt;  IC2 zona da Roca, 'fortes constrangimentos' (via condicionada)</t>
        </is>
      </c>
    </row>
    <row r="25">
      <c r="A25" s="8" t="inlineStr">
        <is>
          <t xml:space="preserve">  Marinha Grande        +10 min  -&gt;  EN109 Leiria-Figueira da Foz, 'dificuldades de circulação'</t>
        </is>
      </c>
    </row>
    <row r="26">
      <c r="A26" s="8" t="inlineStr"/>
    </row>
    <row r="27">
      <c r="A27" s="8" t="inlineStr">
        <is>
          <t>*** AVISO: a notícia NÃO indica quantos minutos de atraso cada corte causou -- só descreve</t>
        </is>
      </c>
    </row>
    <row r="28">
      <c r="A28" s="8" t="inlineStr">
        <is>
          <t>se a via estava cortada ou condicionada. Estes valores foram calibrados apenas pela</t>
        </is>
      </c>
    </row>
    <row r="29">
      <c r="A29" s="8" t="inlineStr">
        <is>
          <t>gravidade da linguagem da notícia (cortada = +20min, condicionada = +10min) e são uma</t>
        </is>
      </c>
    </row>
    <row r="30">
      <c r="A30" s="8" t="inlineStr">
        <is>
          <t>ESTIMATIVA EDITORIAL, não uma medição real. Substitui por dados reais (Waze/Google Maps</t>
        </is>
      </c>
    </row>
    <row r="31">
      <c r="A31" s="8" t="inlineStr">
        <is>
          <t>nesse dia, ou confirmação da GNR/Câmara) assim que os tiveres -- edita o dicionário</t>
        </is>
      </c>
    </row>
    <row r="32">
      <c r="A32" s="8" t="inlineStr">
        <is>
          <t>PENALIZACOES_MANUAIS no topo do script.</t>
        </is>
      </c>
    </row>
    <row r="33">
      <c r="A33" s="8" t="inlineStr"/>
    </row>
    <row r="34">
      <c r="A34" s="8" t="inlineStr">
        <is>
          <t>ATRITO GERAL (árvores caídas/detritos SEM corte formal, via ainda transitável mas mais lenta):</t>
        </is>
      </c>
    </row>
    <row r="35">
      <c r="A35" s="8" t="inlineStr">
        <is>
          <t xml:space="preserve">  Todo o distrito de Leiria     +10 min  -&gt;  aviso vermelho/laranja em todo o distrito</t>
        </is>
      </c>
    </row>
    <row r="36">
      <c r="A36" s="8" t="inlineStr">
        <is>
          <t xml:space="preserve">  + concelhos 'muito devastados' (CIM de Leiria), acima do valor de todo o distrito:</t>
        </is>
      </c>
    </row>
    <row r="37">
      <c r="A37" s="8" t="inlineStr">
        <is>
          <t xml:space="preserve">      Ansião               +10 min</t>
        </is>
      </c>
    </row>
    <row r="38">
      <c r="A38" s="8" t="inlineStr">
        <is>
          <t xml:space="preserve">      Batalha              +10 min</t>
        </is>
      </c>
    </row>
    <row r="39">
      <c r="A39" s="8" t="inlineStr">
        <is>
          <t xml:space="preserve">      Leiria               +10 min</t>
        </is>
      </c>
    </row>
    <row r="40">
      <c r="A40" s="8" t="inlineStr">
        <is>
          <t xml:space="preserve">      Marinha Grande       +10 min</t>
        </is>
      </c>
    </row>
    <row r="41">
      <c r="A41" s="8" t="inlineStr">
        <is>
          <t xml:space="preserve">      Porto de Mós         +10 min</t>
        </is>
      </c>
    </row>
    <row r="42">
      <c r="A42" s="8" t="inlineStr">
        <is>
          <t xml:space="preserve">      Pombal               +10 min</t>
        </is>
      </c>
    </row>
    <row r="43">
      <c r="A43" s="8" t="inlineStr">
        <is>
          <t xml:space="preserve">  (também estimativa editorial -- ajusta em CONCELHOS_MUITO_AFETADOS / ATRITO_GERAL_DISTRITO_MIN)</t>
        </is>
      </c>
    </row>
    <row r="44">
      <c r="A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44" customWidth="1" min="4" max="4"/>
    <col width="38" customWidth="1" min="5" max="5"/>
    <col width="17" customWidth="1" min="6" max="6"/>
    <col width="21" customWidth="1" min="7" max="7"/>
    <col width="18" customWidth="1" min="8" max="8"/>
    <col width="22" customWidth="1" min="9" max="9"/>
    <col width="19" customWidth="1" min="10" max="10"/>
    <col width="34" customWidth="1" min="11" max="11"/>
    <col width="30" customWidth="1" min="12" max="12"/>
    <col width="24" customWidth="1" min="13" max="13"/>
    <col width="19" customWidth="1" min="14" max="14"/>
    <col width="15" customWidth="1" min="15" max="15"/>
    <col width="13" customWidth="1" min="16" max="16"/>
    <col width="16" customWidth="1" min="17" max="17"/>
    <col width="17" customWidth="1" min="18" max="18"/>
    <col width="18" customWidth="1" min="19" max="19"/>
  </cols>
  <sheetData>
    <row r="1">
      <c r="A1" s="9" t="inlineStr">
        <is>
          <t>Tempo_min_Normal/Cortado = tempo real por estrada (OSRM) ao hospital do ULS  |  Penalizacao_Corte_Especifico_min = EN236/IC2/EN109 (estimativa)  |  Penalizacao_Atrito_Geral_min = árvores/detritos dispersos, distrito todo + concelhos mais devastados (estimativa)  |  ambas JÁ INCLUÍDAS no Tempo_min_Cortado — ver folha '0. Contexto e Metodologia'  |  Ajustado_Sem_Rota = OSRM não achou rota sem autoestrada, tempo forçado a não ficar abaixo do Normal  |  Diferenca_min = Cortado - Normal  |  Crítico = tempo &gt; 60min  |  Passou_a_Critico = ficou crítica só por causa do corte de estradas</t>
        </is>
      </c>
    </row>
    <row r="2">
      <c r="A2" s="10" t="inlineStr">
        <is>
          <t>Distrito</t>
        </is>
      </c>
      <c r="B2" s="10" t="inlineStr">
        <is>
          <t>Concelho</t>
        </is>
      </c>
      <c r="C2" s="10" t="inlineStr">
        <is>
          <t>Freguesia e concelho</t>
        </is>
      </c>
      <c r="D2" s="10" t="inlineStr">
        <is>
          <t>ULS</t>
        </is>
      </c>
      <c r="E2" s="10" t="inlineStr">
        <is>
          <t>Hospiatais</t>
        </is>
      </c>
      <c r="F2" s="10" t="inlineStr">
        <is>
          <t>Populacão total</t>
        </is>
      </c>
      <c r="G2" s="10" t="inlineStr">
        <is>
          <t>Distancia_km_Normal</t>
        </is>
      </c>
      <c r="H2" s="10" t="inlineStr">
        <is>
          <t>Tempo_min_Normal</t>
        </is>
      </c>
      <c r="I2" s="10" t="inlineStr">
        <is>
          <t>Distancia_km_Cortado</t>
        </is>
      </c>
      <c r="J2" s="10" t="inlineStr">
        <is>
          <t>Tempo_min_Cortado</t>
        </is>
      </c>
      <c r="K2" s="10" t="inlineStr">
        <is>
          <t>Penalizacao_Corte_Especifico_min</t>
        </is>
      </c>
      <c r="L2" s="10" t="inlineStr">
        <is>
          <t>Penalizacao_Atrito_Geral_min</t>
        </is>
      </c>
      <c r="M2" s="10" t="inlineStr">
        <is>
          <t>Penalizacao_Manual_min</t>
        </is>
      </c>
      <c r="N2" s="10" t="inlineStr">
        <is>
          <t>Ajustado_Sem_Rota</t>
        </is>
      </c>
      <c r="O2" s="10" t="inlineStr">
        <is>
          <t>Diferenca_min</t>
        </is>
      </c>
      <c r="P2" s="10" t="inlineStr">
        <is>
          <t>Diferenca_%</t>
        </is>
      </c>
      <c r="Q2" s="10" t="inlineStr">
        <is>
          <t>Critico_Normal</t>
        </is>
      </c>
      <c r="R2" s="10" t="inlineStr">
        <is>
          <t>Critico_Cortado</t>
        </is>
      </c>
      <c r="S2" s="10" t="inlineStr">
        <is>
          <t>Passou_a_Critico</t>
        </is>
      </c>
    </row>
    <row r="3">
      <c r="A3" s="11" t="inlineStr">
        <is>
          <t>Leiria</t>
        </is>
      </c>
      <c r="B3" s="11" t="inlineStr">
        <is>
          <t>Leiria</t>
        </is>
      </c>
      <c r="C3" s="11" t="inlineStr">
        <is>
          <t>Bajouca (Leiria)</t>
        </is>
      </c>
      <c r="D3" s="11" t="inlineStr">
        <is>
          <t>Unidade Local de Saúde da Região de Leiria</t>
        </is>
      </c>
      <c r="E3" s="11" t="inlineStr">
        <is>
          <t>Hospital de Santo André, em Leiria</t>
        </is>
      </c>
      <c r="F3" s="11" t="n">
        <v>1895</v>
      </c>
      <c r="G3" s="11" t="n">
        <v>50</v>
      </c>
      <c r="H3" s="11" t="n">
        <v>38.5</v>
      </c>
      <c r="I3" s="11" t="n">
        <v>50</v>
      </c>
      <c r="J3" s="11" t="n">
        <v>82.09999999999999</v>
      </c>
      <c r="K3" s="11" t="n">
        <v>20</v>
      </c>
      <c r="L3" s="11" t="n">
        <v>20</v>
      </c>
      <c r="M3" s="11" t="n">
        <v>40</v>
      </c>
      <c r="N3" s="11" t="inlineStr">
        <is>
          <t>Sim</t>
        </is>
      </c>
      <c r="O3" s="11" t="n">
        <v>43.7</v>
      </c>
      <c r="P3" s="11" t="n">
        <v>113.6</v>
      </c>
      <c r="Q3" s="11" t="inlineStr">
        <is>
          <t>Não</t>
        </is>
      </c>
      <c r="R3" s="11" t="inlineStr">
        <is>
          <t>Sim</t>
        </is>
      </c>
      <c r="S3" s="11" t="inlineStr">
        <is>
          <t>Sim</t>
        </is>
      </c>
    </row>
    <row r="4">
      <c r="A4" s="11" t="inlineStr">
        <is>
          <t>Leiria</t>
        </is>
      </c>
      <c r="B4" s="11" t="inlineStr">
        <is>
          <t>Leiria</t>
        </is>
      </c>
      <c r="C4" s="11" t="inlineStr">
        <is>
          <t>União das freguesias de Monte Redondo e Carreira (Leiria)</t>
        </is>
      </c>
      <c r="D4" s="11" t="inlineStr">
        <is>
          <t>Unidade Local de Saúde da Região de Leiria</t>
        </is>
      </c>
      <c r="E4" s="11" t="inlineStr">
        <is>
          <t>Hospital de Santo André, em Leiria</t>
        </is>
      </c>
      <c r="F4" s="11" t="n">
        <v>5182</v>
      </c>
      <c r="G4" s="11" t="n">
        <v>47.5</v>
      </c>
      <c r="H4" s="11" t="n">
        <v>37.7</v>
      </c>
      <c r="I4" s="11" t="n">
        <v>47.5</v>
      </c>
      <c r="J4" s="11" t="n">
        <v>80.3</v>
      </c>
      <c r="K4" s="11" t="n">
        <v>20</v>
      </c>
      <c r="L4" s="11" t="n">
        <v>20</v>
      </c>
      <c r="M4" s="11" t="n">
        <v>40</v>
      </c>
      <c r="N4" s="11" t="inlineStr">
        <is>
          <t>Sim</t>
        </is>
      </c>
      <c r="O4" s="11" t="n">
        <v>42.6</v>
      </c>
      <c r="P4" s="11" t="n">
        <v>112.9</v>
      </c>
      <c r="Q4" s="11" t="inlineStr">
        <is>
          <t>Não</t>
        </is>
      </c>
      <c r="R4" s="11" t="inlineStr">
        <is>
          <t>Sim</t>
        </is>
      </c>
      <c r="S4" s="11" t="inlineStr">
        <is>
          <t>Sim</t>
        </is>
      </c>
    </row>
    <row r="5">
      <c r="A5" s="11" t="inlineStr">
        <is>
          <t>Leiria</t>
        </is>
      </c>
      <c r="B5" s="11" t="inlineStr">
        <is>
          <t>Leiria</t>
        </is>
      </c>
      <c r="C5" s="11" t="inlineStr">
        <is>
          <t>Bidoeira de Cima (Leiria)</t>
        </is>
      </c>
      <c r="D5" s="11" t="inlineStr">
        <is>
          <t>Unidade Local de Saúde da Região de Leiria</t>
        </is>
      </c>
      <c r="E5" s="11" t="inlineStr">
        <is>
          <t>Hospital de Santo André, em Leiria</t>
        </is>
      </c>
      <c r="F5" s="11" t="n">
        <v>2236</v>
      </c>
      <c r="G5" s="11" t="n">
        <v>46.1</v>
      </c>
      <c r="H5" s="11" t="n">
        <v>45.8</v>
      </c>
      <c r="I5" s="11" t="n">
        <v>46.1</v>
      </c>
      <c r="J5" s="11" t="n">
        <v>85.8</v>
      </c>
      <c r="K5" s="11" t="n">
        <v>20</v>
      </c>
      <c r="L5" s="11" t="n">
        <v>20</v>
      </c>
      <c r="M5" s="11" t="n">
        <v>40</v>
      </c>
      <c r="N5" s="11" t="inlineStr">
        <is>
          <t>Sim</t>
        </is>
      </c>
      <c r="O5" s="11" t="n">
        <v>40</v>
      </c>
      <c r="P5" s="11" t="n">
        <v>87.40000000000001</v>
      </c>
      <c r="Q5" s="11" t="inlineStr">
        <is>
          <t>Não</t>
        </is>
      </c>
      <c r="R5" s="11" t="inlineStr">
        <is>
          <t>Sim</t>
        </is>
      </c>
      <c r="S5" s="11" t="inlineStr">
        <is>
          <t>Sim</t>
        </is>
      </c>
    </row>
    <row r="6">
      <c r="A6" s="11" t="inlineStr">
        <is>
          <t>Leiria</t>
        </is>
      </c>
      <c r="B6" s="11" t="inlineStr">
        <is>
          <t>Leiria</t>
        </is>
      </c>
      <c r="C6" s="11" t="inlineStr">
        <is>
          <t>União das freguesias de Marrazes e Barosa (Leiria)</t>
        </is>
      </c>
      <c r="D6" s="11" t="inlineStr">
        <is>
          <t>Unidade Local de Saúde da Região de Leiria</t>
        </is>
      </c>
      <c r="E6" s="11" t="inlineStr">
        <is>
          <t>Hospital de Santo André, em Leiria</t>
        </is>
      </c>
      <c r="F6" s="11" t="n">
        <v>26225</v>
      </c>
      <c r="G6" s="11" t="n">
        <v>32.8</v>
      </c>
      <c r="H6" s="11" t="n">
        <v>33.2</v>
      </c>
      <c r="I6" s="11" t="n">
        <v>32.8</v>
      </c>
      <c r="J6" s="11" t="n">
        <v>73.2</v>
      </c>
      <c r="K6" s="11" t="n">
        <v>20</v>
      </c>
      <c r="L6" s="11" t="n">
        <v>20</v>
      </c>
      <c r="M6" s="11" t="n">
        <v>40</v>
      </c>
      <c r="N6" s="11" t="inlineStr">
        <is>
          <t>Sim</t>
        </is>
      </c>
      <c r="O6" s="11" t="n">
        <v>40</v>
      </c>
      <c r="P6" s="11" t="n">
        <v>120.4</v>
      </c>
      <c r="Q6" s="11" t="inlineStr">
        <is>
          <t>Não</t>
        </is>
      </c>
      <c r="R6" s="11" t="inlineStr">
        <is>
          <t>Sim</t>
        </is>
      </c>
      <c r="S6" s="11" t="inlineStr">
        <is>
          <t>Sim</t>
        </is>
      </c>
    </row>
    <row r="7">
      <c r="A7" s="11" t="inlineStr">
        <is>
          <t>Leiria</t>
        </is>
      </c>
      <c r="B7" s="11" t="inlineStr">
        <is>
          <t>Castanheira de Pêra</t>
        </is>
      </c>
      <c r="C7" s="11" t="inlineStr">
        <is>
          <t>União das freguesias de Castanheira de Pêra e Coentral (Castanheira de Pêra)</t>
        </is>
      </c>
      <c r="D7" s="11" t="inlineStr">
        <is>
          <t>Unidade Local de Saúde de Coimbra</t>
        </is>
      </c>
      <c r="E7" s="11" t="inlineStr">
        <is>
          <t>Hospitais da Universidade de Coimbra</t>
        </is>
      </c>
      <c r="F7" s="11" t="n">
        <v>2645</v>
      </c>
      <c r="G7" s="11" t="n">
        <v>59.8</v>
      </c>
      <c r="H7" s="11" t="n">
        <v>54.2</v>
      </c>
      <c r="I7" s="11" t="n">
        <v>59.8</v>
      </c>
      <c r="J7" s="11" t="n">
        <v>94.2</v>
      </c>
      <c r="K7" s="11" t="n">
        <v>30</v>
      </c>
      <c r="L7" s="11" t="n">
        <v>10</v>
      </c>
      <c r="M7" s="11" t="n">
        <v>40</v>
      </c>
      <c r="N7" s="11" t="inlineStr">
        <is>
          <t>Sim</t>
        </is>
      </c>
      <c r="O7" s="11" t="n">
        <v>40</v>
      </c>
      <c r="P7" s="11" t="n">
        <v>73.8</v>
      </c>
      <c r="Q7" s="11" t="inlineStr">
        <is>
          <t>Não</t>
        </is>
      </c>
      <c r="R7" s="11" t="inlineStr">
        <is>
          <t>Sim</t>
        </is>
      </c>
      <c r="S7" s="11" t="inlineStr">
        <is>
          <t>Sim</t>
        </is>
      </c>
    </row>
    <row r="8">
      <c r="A8" s="11" t="inlineStr">
        <is>
          <t>Leiria</t>
        </is>
      </c>
      <c r="B8" s="11" t="inlineStr">
        <is>
          <t>Leiria</t>
        </is>
      </c>
      <c r="C8" s="11" t="inlineStr">
        <is>
          <t>União das freguesias de Monte Real e Carvide (Leiria)</t>
        </is>
      </c>
      <c r="D8" s="11" t="inlineStr">
        <is>
          <t>Unidade Local de Saúde da Região de Leiria</t>
        </is>
      </c>
      <c r="E8" s="11" t="inlineStr">
        <is>
          <t>Hospital de Santo André, em Leiria</t>
        </is>
      </c>
      <c r="F8" s="11" t="n">
        <v>5542</v>
      </c>
      <c r="G8" s="11" t="n">
        <v>47.3</v>
      </c>
      <c r="H8" s="11" t="n">
        <v>38.9</v>
      </c>
      <c r="I8" s="11" t="n">
        <v>47.3</v>
      </c>
      <c r="J8" s="11" t="n">
        <v>78.90000000000001</v>
      </c>
      <c r="K8" s="11" t="n">
        <v>20</v>
      </c>
      <c r="L8" s="11" t="n">
        <v>20</v>
      </c>
      <c r="M8" s="11" t="n">
        <v>40</v>
      </c>
      <c r="N8" s="11" t="inlineStr">
        <is>
          <t>Sim</t>
        </is>
      </c>
      <c r="O8" s="11" t="n">
        <v>40</v>
      </c>
      <c r="P8" s="11" t="n">
        <v>102.8</v>
      </c>
      <c r="Q8" s="11" t="inlineStr">
        <is>
          <t>Não</t>
        </is>
      </c>
      <c r="R8" s="11" t="inlineStr">
        <is>
          <t>Sim</t>
        </is>
      </c>
      <c r="S8" s="11" t="inlineStr">
        <is>
          <t>Sim</t>
        </is>
      </c>
    </row>
    <row r="9">
      <c r="A9" s="11" t="inlineStr">
        <is>
          <t>Leiria</t>
        </is>
      </c>
      <c r="B9" s="11" t="inlineStr">
        <is>
          <t>Leiria</t>
        </is>
      </c>
      <c r="C9" s="11" t="inlineStr">
        <is>
          <t>Coimbrão (Leiria)</t>
        </is>
      </c>
      <c r="D9" s="11" t="inlineStr">
        <is>
          <t>Unidade Local de Saúde da Região de Leiria</t>
        </is>
      </c>
      <c r="E9" s="11" t="inlineStr">
        <is>
          <t>Hospital de Santo André, em Leiria</t>
        </is>
      </c>
      <c r="F9" s="11" t="n">
        <v>1726</v>
      </c>
      <c r="G9" s="11" t="n">
        <v>50.3</v>
      </c>
      <c r="H9" s="11" t="n">
        <v>41.8</v>
      </c>
      <c r="I9" s="11" t="n">
        <v>50.3</v>
      </c>
      <c r="J9" s="11" t="n">
        <v>81.8</v>
      </c>
      <c r="K9" s="11" t="n">
        <v>20</v>
      </c>
      <c r="L9" s="11" t="n">
        <v>20</v>
      </c>
      <c r="M9" s="11" t="n">
        <v>40</v>
      </c>
      <c r="N9" s="11" t="inlineStr">
        <is>
          <t>Sim</t>
        </is>
      </c>
      <c r="O9" s="11" t="n">
        <v>40</v>
      </c>
      <c r="P9" s="11" t="n">
        <v>95.7</v>
      </c>
      <c r="Q9" s="11" t="inlineStr">
        <is>
          <t>Não</t>
        </is>
      </c>
      <c r="R9" s="11" t="inlineStr">
        <is>
          <t>Sim</t>
        </is>
      </c>
      <c r="S9" s="11" t="inlineStr">
        <is>
          <t>Sim</t>
        </is>
      </c>
    </row>
    <row r="10">
      <c r="A10" s="11" t="inlineStr">
        <is>
          <t>Leiria</t>
        </is>
      </c>
      <c r="B10" s="11" t="inlineStr">
        <is>
          <t>Leiria</t>
        </is>
      </c>
      <c r="C10" s="11" t="inlineStr">
        <is>
          <t>Milagres (Leiria)</t>
        </is>
      </c>
      <c r="D10" s="11" t="inlineStr">
        <is>
          <t>Unidade Local de Saúde da Região de Leiria</t>
        </is>
      </c>
      <c r="E10" s="11" t="inlineStr">
        <is>
          <t>Hospital de Santo André, em Leiria</t>
        </is>
      </c>
      <c r="F10" s="11" t="n">
        <v>2829</v>
      </c>
      <c r="G10" s="11" t="n">
        <v>44.1</v>
      </c>
      <c r="H10" s="11" t="n">
        <v>38.9</v>
      </c>
      <c r="I10" s="11" t="n">
        <v>44.1</v>
      </c>
      <c r="J10" s="11" t="n">
        <v>78.90000000000001</v>
      </c>
      <c r="K10" s="11" t="n">
        <v>20</v>
      </c>
      <c r="L10" s="11" t="n">
        <v>20</v>
      </c>
      <c r="M10" s="11" t="n">
        <v>40</v>
      </c>
      <c r="N10" s="11" t="inlineStr">
        <is>
          <t>Sim</t>
        </is>
      </c>
      <c r="O10" s="11" t="n">
        <v>40</v>
      </c>
      <c r="P10" s="11" t="n">
        <v>102.7</v>
      </c>
      <c r="Q10" s="11" t="inlineStr">
        <is>
          <t>Não</t>
        </is>
      </c>
      <c r="R10" s="11" t="inlineStr">
        <is>
          <t>Sim</t>
        </is>
      </c>
      <c r="S10" s="11" t="inlineStr">
        <is>
          <t>Sim</t>
        </is>
      </c>
    </row>
    <row r="11">
      <c r="A11" s="11" t="inlineStr">
        <is>
          <t>Leiria</t>
        </is>
      </c>
      <c r="B11" s="11" t="inlineStr">
        <is>
          <t>Leiria</t>
        </is>
      </c>
      <c r="C11" s="11" t="inlineStr">
        <is>
          <t>Regueira de Pontes (Leiria)</t>
        </is>
      </c>
      <c r="D11" s="11" t="inlineStr">
        <is>
          <t>Unidade Local de Saúde da Região de Leiria</t>
        </is>
      </c>
      <c r="E11" s="11" t="inlineStr">
        <is>
          <t>Hospital de Santo André, em Leiria</t>
        </is>
      </c>
      <c r="F11" s="11" t="n">
        <v>2174</v>
      </c>
      <c r="G11" s="11" t="n">
        <v>39.8</v>
      </c>
      <c r="H11" s="11" t="n">
        <v>31.7</v>
      </c>
      <c r="I11" s="11" t="n">
        <v>39.8</v>
      </c>
      <c r="J11" s="11" t="n">
        <v>71.7</v>
      </c>
      <c r="K11" s="11" t="n">
        <v>20</v>
      </c>
      <c r="L11" s="11" t="n">
        <v>20</v>
      </c>
      <c r="M11" s="11" t="n">
        <v>40</v>
      </c>
      <c r="N11" s="11" t="inlineStr">
        <is>
          <t>Sim</t>
        </is>
      </c>
      <c r="O11" s="11" t="n">
        <v>40</v>
      </c>
      <c r="P11" s="11" t="n">
        <v>126.2</v>
      </c>
      <c r="Q11" s="11" t="inlineStr">
        <is>
          <t>Não</t>
        </is>
      </c>
      <c r="R11" s="11" t="inlineStr">
        <is>
          <t>Sim</t>
        </is>
      </c>
      <c r="S11" s="11" t="inlineStr">
        <is>
          <t>Sim</t>
        </is>
      </c>
    </row>
    <row r="12">
      <c r="A12" s="11" t="inlineStr">
        <is>
          <t>Leiria</t>
        </is>
      </c>
      <c r="B12" s="11" t="inlineStr">
        <is>
          <t>Leiria</t>
        </is>
      </c>
      <c r="C12" s="11" t="inlineStr">
        <is>
          <t>Maceira (Leiria)</t>
        </is>
      </c>
      <c r="D12" s="11" t="inlineStr">
        <is>
          <t>Unidade Local de Saúde da Região de Leiria</t>
        </is>
      </c>
      <c r="E12" s="11" t="inlineStr">
        <is>
          <t>Hospital de Santo André, em Leiria</t>
        </is>
      </c>
      <c r="F12" s="11" t="n">
        <v>9141</v>
      </c>
      <c r="G12" s="11" t="n">
        <v>29.7</v>
      </c>
      <c r="H12" s="11" t="n">
        <v>28.8</v>
      </c>
      <c r="I12" s="11" t="n">
        <v>29.7</v>
      </c>
      <c r="J12" s="11" t="n">
        <v>68.8</v>
      </c>
      <c r="K12" s="11" t="n">
        <v>20</v>
      </c>
      <c r="L12" s="11" t="n">
        <v>20</v>
      </c>
      <c r="M12" s="11" t="n">
        <v>40</v>
      </c>
      <c r="N12" s="11" t="inlineStr">
        <is>
          <t>Sim</t>
        </is>
      </c>
      <c r="O12" s="11" t="n">
        <v>40</v>
      </c>
      <c r="P12" s="11" t="n">
        <v>138.9</v>
      </c>
      <c r="Q12" s="11" t="inlineStr">
        <is>
          <t>Não</t>
        </is>
      </c>
      <c r="R12" s="11" t="inlineStr">
        <is>
          <t>Sim</t>
        </is>
      </c>
      <c r="S12" s="11" t="inlineStr">
        <is>
          <t>Sim</t>
        </is>
      </c>
    </row>
    <row r="13">
      <c r="A13" s="11" t="inlineStr">
        <is>
          <t>Leiria</t>
        </is>
      </c>
      <c r="B13" s="11" t="inlineStr">
        <is>
          <t>Leiria</t>
        </is>
      </c>
      <c r="C13" s="11" t="inlineStr">
        <is>
          <t>Amor (Leiria)</t>
        </is>
      </c>
      <c r="D13" s="11" t="inlineStr">
        <is>
          <t>Unidade Local de Saúde da Região de Leiria</t>
        </is>
      </c>
      <c r="E13" s="11" t="inlineStr">
        <is>
          <t>Hospital de Santo André, em Leiria</t>
        </is>
      </c>
      <c r="F13" s="11" t="n">
        <v>4578</v>
      </c>
      <c r="G13" s="11" t="n">
        <v>39.8</v>
      </c>
      <c r="H13" s="11" t="n">
        <v>34</v>
      </c>
      <c r="I13" s="11" t="n">
        <v>39.8</v>
      </c>
      <c r="J13" s="11" t="n">
        <v>74</v>
      </c>
      <c r="K13" s="11" t="n">
        <v>20</v>
      </c>
      <c r="L13" s="11" t="n">
        <v>20</v>
      </c>
      <c r="M13" s="11" t="n">
        <v>40</v>
      </c>
      <c r="N13" s="11" t="inlineStr">
        <is>
          <t>Sim</t>
        </is>
      </c>
      <c r="O13" s="11" t="n">
        <v>40</v>
      </c>
      <c r="P13" s="11" t="n">
        <v>117.6</v>
      </c>
      <c r="Q13" s="11" t="inlineStr">
        <is>
          <t>Não</t>
        </is>
      </c>
      <c r="R13" s="11" t="inlineStr">
        <is>
          <t>Sim</t>
        </is>
      </c>
      <c r="S13" s="11" t="inlineStr">
        <is>
          <t>Sim</t>
        </is>
      </c>
    </row>
    <row r="14">
      <c r="A14" s="11" t="inlineStr">
        <is>
          <t>Leiria</t>
        </is>
      </c>
      <c r="B14" s="11" t="inlineStr">
        <is>
          <t>Leiria</t>
        </is>
      </c>
      <c r="C14" s="11" t="inlineStr">
        <is>
          <t>Caranguejeira (Leiria)</t>
        </is>
      </c>
      <c r="D14" s="11" t="inlineStr">
        <is>
          <t>Unidade Local de Saúde da Região de Leiria</t>
        </is>
      </c>
      <c r="E14" s="11" t="inlineStr">
        <is>
          <t>Hospital de Santo André, em Leiria</t>
        </is>
      </c>
      <c r="F14" s="11" t="n">
        <v>4331</v>
      </c>
      <c r="G14" s="11" t="n">
        <v>48.9</v>
      </c>
      <c r="H14" s="11" t="n">
        <v>40.8</v>
      </c>
      <c r="I14" s="11" t="n">
        <v>48.9</v>
      </c>
      <c r="J14" s="11" t="n">
        <v>80.8</v>
      </c>
      <c r="K14" s="11" t="n">
        <v>20</v>
      </c>
      <c r="L14" s="11" t="n">
        <v>20</v>
      </c>
      <c r="M14" s="11" t="n">
        <v>40</v>
      </c>
      <c r="N14" s="11" t="inlineStr">
        <is>
          <t>Sim</t>
        </is>
      </c>
      <c r="O14" s="11" t="n">
        <v>40</v>
      </c>
      <c r="P14" s="11" t="n">
        <v>98</v>
      </c>
      <c r="Q14" s="11" t="inlineStr">
        <is>
          <t>Não</t>
        </is>
      </c>
      <c r="R14" s="11" t="inlineStr">
        <is>
          <t>Sim</t>
        </is>
      </c>
      <c r="S14" s="11" t="inlineStr">
        <is>
          <t>Sim</t>
        </is>
      </c>
    </row>
    <row r="15">
      <c r="A15" s="11" t="inlineStr">
        <is>
          <t>Leiria</t>
        </is>
      </c>
      <c r="B15" s="11" t="inlineStr">
        <is>
          <t>Leiria</t>
        </is>
      </c>
      <c r="C15" s="11" t="inlineStr">
        <is>
          <t>União das freguesias de Leiria, Pousos, Barreira e Cortes (Leiria)</t>
        </is>
      </c>
      <c r="D15" s="11" t="inlineStr">
        <is>
          <t>Unidade Local de Saúde da Região de Leiria</t>
        </is>
      </c>
      <c r="E15" s="11" t="inlineStr">
        <is>
          <t>Hospital de Santo André, em Leiria</t>
        </is>
      </c>
      <c r="F15" s="11" t="n">
        <v>34644</v>
      </c>
      <c r="G15" s="11" t="n">
        <v>30.6</v>
      </c>
      <c r="H15" s="11" t="n">
        <v>30.6</v>
      </c>
      <c r="I15" s="11" t="n">
        <v>30.6</v>
      </c>
      <c r="J15" s="11" t="n">
        <v>70.59999999999999</v>
      </c>
      <c r="K15" s="11" t="n">
        <v>20</v>
      </c>
      <c r="L15" s="11" t="n">
        <v>20</v>
      </c>
      <c r="M15" s="11" t="n">
        <v>40</v>
      </c>
      <c r="N15" s="11" t="inlineStr">
        <is>
          <t>Sim</t>
        </is>
      </c>
      <c r="O15" s="11" t="n">
        <v>40</v>
      </c>
      <c r="P15" s="11" t="n">
        <v>130.7</v>
      </c>
      <c r="Q15" s="11" t="inlineStr">
        <is>
          <t>Não</t>
        </is>
      </c>
      <c r="R15" s="11" t="inlineStr">
        <is>
          <t>Sim</t>
        </is>
      </c>
      <c r="S15" s="11" t="inlineStr">
        <is>
          <t>Sim</t>
        </is>
      </c>
    </row>
    <row r="16">
      <c r="A16" s="11" t="inlineStr">
        <is>
          <t>Leiria</t>
        </is>
      </c>
      <c r="B16" s="11" t="inlineStr">
        <is>
          <t>Leiria</t>
        </is>
      </c>
      <c r="C16" s="11" t="inlineStr">
        <is>
          <t>União das freguesias de Colmeias e Memória (Leiria)</t>
        </is>
      </c>
      <c r="D16" s="11" t="inlineStr">
        <is>
          <t>Unidade Local de Saúde da Região de Leiria</t>
        </is>
      </c>
      <c r="E16" s="11" t="inlineStr">
        <is>
          <t>Hospital de Santo André, em Leiria</t>
        </is>
      </c>
      <c r="F16" s="11" t="n">
        <v>3746</v>
      </c>
      <c r="G16" s="11" t="n">
        <v>45.8</v>
      </c>
      <c r="H16" s="11" t="n">
        <v>53.2</v>
      </c>
      <c r="I16" s="11" t="n">
        <v>45.8</v>
      </c>
      <c r="J16" s="11" t="n">
        <v>93.2</v>
      </c>
      <c r="K16" s="11" t="n">
        <v>20</v>
      </c>
      <c r="L16" s="11" t="n">
        <v>20</v>
      </c>
      <c r="M16" s="11" t="n">
        <v>40</v>
      </c>
      <c r="N16" s="11" t="inlineStr">
        <is>
          <t>Sim</t>
        </is>
      </c>
      <c r="O16" s="11" t="n">
        <v>40</v>
      </c>
      <c r="P16" s="11" t="n">
        <v>75.2</v>
      </c>
      <c r="Q16" s="11" t="inlineStr">
        <is>
          <t>Não</t>
        </is>
      </c>
      <c r="R16" s="11" t="inlineStr">
        <is>
          <t>Sim</t>
        </is>
      </c>
      <c r="S16" s="11" t="inlineStr">
        <is>
          <t>Sim</t>
        </is>
      </c>
    </row>
    <row r="17">
      <c r="A17" s="11" t="inlineStr">
        <is>
          <t>Leiria</t>
        </is>
      </c>
      <c r="B17" s="11" t="inlineStr">
        <is>
          <t>Leiria</t>
        </is>
      </c>
      <c r="C17" s="11" t="inlineStr">
        <is>
          <t>Arrabal (Leiria)</t>
        </is>
      </c>
      <c r="D17" s="11" t="inlineStr">
        <is>
          <t>Unidade Local de Saúde da Região de Leiria</t>
        </is>
      </c>
      <c r="E17" s="11" t="inlineStr">
        <is>
          <t>Hospital de Santo André, em Leiria</t>
        </is>
      </c>
      <c r="F17" s="11" t="n">
        <v>2610</v>
      </c>
      <c r="G17" s="11" t="n">
        <v>46.6</v>
      </c>
      <c r="H17" s="11" t="n">
        <v>39.9</v>
      </c>
      <c r="I17" s="11" t="n">
        <v>46.6</v>
      </c>
      <c r="J17" s="11" t="n">
        <v>79.90000000000001</v>
      </c>
      <c r="K17" s="11" t="n">
        <v>20</v>
      </c>
      <c r="L17" s="11" t="n">
        <v>20</v>
      </c>
      <c r="M17" s="11" t="n">
        <v>40</v>
      </c>
      <c r="N17" s="11" t="inlineStr">
        <is>
          <t>Sim</t>
        </is>
      </c>
      <c r="O17" s="11" t="n">
        <v>40</v>
      </c>
      <c r="P17" s="11" t="n">
        <v>100.2</v>
      </c>
      <c r="Q17" s="11" t="inlineStr">
        <is>
          <t>Não</t>
        </is>
      </c>
      <c r="R17" s="11" t="inlineStr">
        <is>
          <t>Sim</t>
        </is>
      </c>
      <c r="S17" s="11" t="inlineStr">
        <is>
          <t>Sim</t>
        </is>
      </c>
    </row>
    <row r="18">
      <c r="A18" s="11" t="inlineStr">
        <is>
          <t>Leiria</t>
        </is>
      </c>
      <c r="B18" s="11" t="inlineStr">
        <is>
          <t>Leiria</t>
        </is>
      </c>
      <c r="C18" s="11" t="inlineStr">
        <is>
          <t>União das freguesias de Parceiros e Azoia (Leiria)</t>
        </is>
      </c>
      <c r="D18" s="11" t="inlineStr">
        <is>
          <t>Unidade Local de Saúde da Região de Leiria</t>
        </is>
      </c>
      <c r="E18" s="11" t="inlineStr">
        <is>
          <t>Hospital de Santo André, em Leiria</t>
        </is>
      </c>
      <c r="F18" s="11" t="n">
        <v>7535</v>
      </c>
      <c r="G18" s="11" t="n">
        <v>28.5</v>
      </c>
      <c r="H18" s="11" t="n">
        <v>29.1</v>
      </c>
      <c r="I18" s="11" t="n">
        <v>28.5</v>
      </c>
      <c r="J18" s="11" t="n">
        <v>69.09999999999999</v>
      </c>
      <c r="K18" s="11" t="n">
        <v>20</v>
      </c>
      <c r="L18" s="11" t="n">
        <v>20</v>
      </c>
      <c r="M18" s="11" t="n">
        <v>40</v>
      </c>
      <c r="N18" s="11" t="inlineStr">
        <is>
          <t>Sim</t>
        </is>
      </c>
      <c r="O18" s="11" t="n">
        <v>40</v>
      </c>
      <c r="P18" s="11" t="n">
        <v>137.5</v>
      </c>
      <c r="Q18" s="11" t="inlineStr">
        <is>
          <t>Não</t>
        </is>
      </c>
      <c r="R18" s="11" t="inlineStr">
        <is>
          <t>Sim</t>
        </is>
      </c>
      <c r="S18" s="11" t="inlineStr">
        <is>
          <t>Sim</t>
        </is>
      </c>
    </row>
    <row r="19">
      <c r="A19" s="11" t="inlineStr">
        <is>
          <t>Leiria</t>
        </is>
      </c>
      <c r="B19" s="11" t="inlineStr">
        <is>
          <t>Leiria</t>
        </is>
      </c>
      <c r="C19" s="11" t="inlineStr">
        <is>
          <t>União das freguesias de Santa Catarina da Serra e Chainça (Leiria)</t>
        </is>
      </c>
      <c r="D19" s="11" t="inlineStr">
        <is>
          <t>Unidade Local de Saúde da Região de Leiria</t>
        </is>
      </c>
      <c r="E19" s="11" t="inlineStr">
        <is>
          <t>Hospital de Santo André, em Leiria</t>
        </is>
      </c>
      <c r="F19" s="11" t="n">
        <v>4572</v>
      </c>
      <c r="G19" s="11" t="n">
        <v>41.8</v>
      </c>
      <c r="H19" s="11" t="n">
        <v>47.4</v>
      </c>
      <c r="I19" s="11" t="n">
        <v>41.8</v>
      </c>
      <c r="J19" s="11" t="n">
        <v>87.40000000000001</v>
      </c>
      <c r="K19" s="11" t="n">
        <v>20</v>
      </c>
      <c r="L19" s="11" t="n">
        <v>20</v>
      </c>
      <c r="M19" s="11" t="n">
        <v>40</v>
      </c>
      <c r="N19" s="11" t="inlineStr">
        <is>
          <t>Sim</t>
        </is>
      </c>
      <c r="O19" s="11" t="n">
        <v>40</v>
      </c>
      <c r="P19" s="11" t="n">
        <v>84.40000000000001</v>
      </c>
      <c r="Q19" s="11" t="inlineStr">
        <is>
          <t>Não</t>
        </is>
      </c>
      <c r="R19" s="11" t="inlineStr">
        <is>
          <t>Sim</t>
        </is>
      </c>
      <c r="S19" s="11" t="inlineStr">
        <is>
          <t>Sim</t>
        </is>
      </c>
    </row>
    <row r="20">
      <c r="A20" s="11" t="inlineStr">
        <is>
          <t>Leiria</t>
        </is>
      </c>
      <c r="B20" s="11" t="inlineStr">
        <is>
          <t>Marinha Grande</t>
        </is>
      </c>
      <c r="C20" s="11" t="inlineStr">
        <is>
          <t>Moita (Marinha Grande)</t>
        </is>
      </c>
      <c r="D20" s="11" t="inlineStr">
        <is>
          <t>Unidade Local de Saúde da Região de Leiria</t>
        </is>
      </c>
      <c r="E20" s="11" t="inlineStr">
        <is>
          <t>Hospital de Santo André, em Leiria</t>
        </is>
      </c>
      <c r="F20" s="11" t="n">
        <v>1296</v>
      </c>
      <c r="G20" s="11" t="n">
        <v>21.9</v>
      </c>
      <c r="H20" s="11" t="n">
        <v>25.2</v>
      </c>
      <c r="I20" s="11" t="n">
        <v>21.9</v>
      </c>
      <c r="J20" s="11" t="n">
        <v>65.2</v>
      </c>
      <c r="K20" s="11" t="n">
        <v>20</v>
      </c>
      <c r="L20" s="11" t="n">
        <v>20</v>
      </c>
      <c r="M20" s="11" t="n">
        <v>40</v>
      </c>
      <c r="N20" s="11" t="inlineStr">
        <is>
          <t>Sim</t>
        </is>
      </c>
      <c r="O20" s="11" t="n">
        <v>40</v>
      </c>
      <c r="P20" s="11" t="n">
        <v>158.9</v>
      </c>
      <c r="Q20" s="11" t="inlineStr">
        <is>
          <t>Não</t>
        </is>
      </c>
      <c r="R20" s="11" t="inlineStr">
        <is>
          <t>Sim</t>
        </is>
      </c>
      <c r="S20" s="11" t="inlineStr">
        <is>
          <t>Sim</t>
        </is>
      </c>
    </row>
    <row r="21">
      <c r="A21" s="11" t="inlineStr">
        <is>
          <t>Leiria</t>
        </is>
      </c>
      <c r="B21" s="11" t="inlineStr">
        <is>
          <t>Leiria</t>
        </is>
      </c>
      <c r="C21" s="11" t="inlineStr">
        <is>
          <t>União das freguesias de Santa Eufémia e Boa Vista (Leiria)</t>
        </is>
      </c>
      <c r="D21" s="11" t="inlineStr">
        <is>
          <t>Unidade Local de Saúde da Região de Leiria</t>
        </is>
      </c>
      <c r="E21" s="11" t="inlineStr">
        <is>
          <t>Hospital de Santo André, em Leiria</t>
        </is>
      </c>
      <c r="F21" s="11" t="n">
        <v>4058</v>
      </c>
      <c r="G21" s="11" t="n">
        <v>37.5</v>
      </c>
      <c r="H21" s="11" t="n">
        <v>38.7</v>
      </c>
      <c r="I21" s="11" t="n">
        <v>37.5</v>
      </c>
      <c r="J21" s="11" t="n">
        <v>78.7</v>
      </c>
      <c r="K21" s="11" t="n">
        <v>20</v>
      </c>
      <c r="L21" s="11" t="n">
        <v>20</v>
      </c>
      <c r="M21" s="11" t="n">
        <v>40</v>
      </c>
      <c r="N21" s="11" t="inlineStr">
        <is>
          <t>Sim</t>
        </is>
      </c>
      <c r="O21" s="11" t="n">
        <v>40</v>
      </c>
      <c r="P21" s="11" t="n">
        <v>103.3</v>
      </c>
      <c r="Q21" s="11" t="inlineStr">
        <is>
          <t>Não</t>
        </is>
      </c>
      <c r="R21" s="11" t="inlineStr">
        <is>
          <t>Sim</t>
        </is>
      </c>
      <c r="S21" s="11" t="inlineStr">
        <is>
          <t>Sim</t>
        </is>
      </c>
    </row>
    <row r="22">
      <c r="A22" s="11" t="inlineStr">
        <is>
          <t>Leiria</t>
        </is>
      </c>
      <c r="B22" s="11" t="inlineStr">
        <is>
          <t>Marinha Grande</t>
        </is>
      </c>
      <c r="C22" s="11" t="inlineStr">
        <is>
          <t>Vieira de Leiria (Marinha Grande)</t>
        </is>
      </c>
      <c r="D22" s="11" t="inlineStr">
        <is>
          <t>Unidade Local de Saúde da Região de Leiria</t>
        </is>
      </c>
      <c r="E22" s="11" t="inlineStr">
        <is>
          <t>Hospital de Santo André, em Leiria</t>
        </is>
      </c>
      <c r="F22" s="11" t="n">
        <v>5406</v>
      </c>
      <c r="G22" s="11" t="n">
        <v>43.4</v>
      </c>
      <c r="H22" s="11" t="n">
        <v>44.1</v>
      </c>
      <c r="I22" s="11" t="n">
        <v>43.4</v>
      </c>
      <c r="J22" s="11" t="n">
        <v>84.09999999999999</v>
      </c>
      <c r="K22" s="11" t="n">
        <v>20</v>
      </c>
      <c r="L22" s="11" t="n">
        <v>20</v>
      </c>
      <c r="M22" s="11" t="n">
        <v>40</v>
      </c>
      <c r="N22" s="11" t="inlineStr">
        <is>
          <t>Sim</t>
        </is>
      </c>
      <c r="O22" s="11" t="n">
        <v>40</v>
      </c>
      <c r="P22" s="11" t="n">
        <v>90.59999999999999</v>
      </c>
      <c r="Q22" s="11" t="inlineStr">
        <is>
          <t>Não</t>
        </is>
      </c>
      <c r="R22" s="11" t="inlineStr">
        <is>
          <t>Sim</t>
        </is>
      </c>
      <c r="S22" s="11" t="inlineStr">
        <is>
          <t>Sim</t>
        </is>
      </c>
    </row>
    <row r="23">
      <c r="A23" s="11" t="inlineStr">
        <is>
          <t>Leiria</t>
        </is>
      </c>
      <c r="B23" s="11" t="inlineStr">
        <is>
          <t>Marinha Grande</t>
        </is>
      </c>
      <c r="C23" s="11" t="inlineStr">
        <is>
          <t>Marinha Grande (Marinha Grande)</t>
        </is>
      </c>
      <c r="D23" s="11" t="inlineStr">
        <is>
          <t>Unidade Local de Saúde da Região de Leiria</t>
        </is>
      </c>
      <c r="E23" s="11" t="inlineStr">
        <is>
          <t>Hospital de Santo André, em Leiria</t>
        </is>
      </c>
      <c r="F23" s="11" t="n">
        <v>32322</v>
      </c>
      <c r="G23" s="11" t="n">
        <v>28.2</v>
      </c>
      <c r="H23" s="11" t="n">
        <v>27.7</v>
      </c>
      <c r="I23" s="11" t="n">
        <v>28.2</v>
      </c>
      <c r="J23" s="11" t="n">
        <v>67.7</v>
      </c>
      <c r="K23" s="11" t="n">
        <v>20</v>
      </c>
      <c r="L23" s="11" t="n">
        <v>20</v>
      </c>
      <c r="M23" s="11" t="n">
        <v>40</v>
      </c>
      <c r="N23" s="11" t="inlineStr">
        <is>
          <t>Sim</t>
        </is>
      </c>
      <c r="O23" s="11" t="n">
        <v>40</v>
      </c>
      <c r="P23" s="11" t="n">
        <v>144.2</v>
      </c>
      <c r="Q23" s="11" t="inlineStr">
        <is>
          <t>Não</t>
        </is>
      </c>
      <c r="R23" s="11" t="inlineStr">
        <is>
          <t>Sim</t>
        </is>
      </c>
      <c r="S23" s="11" t="inlineStr">
        <is>
          <t>Sim</t>
        </is>
      </c>
    </row>
    <row r="24">
      <c r="A24" s="11" t="inlineStr">
        <is>
          <t>Leiria</t>
        </is>
      </c>
      <c r="B24" s="11" t="inlineStr">
        <is>
          <t>Leiria</t>
        </is>
      </c>
      <c r="C24" s="11" t="inlineStr">
        <is>
          <t>União das freguesias de Souto da Carpalhosa e Ortigosa (Leiria)</t>
        </is>
      </c>
      <c r="D24" s="11" t="inlineStr">
        <is>
          <t>Unidade Local de Saúde da Região de Leiria</t>
        </is>
      </c>
      <c r="E24" s="11" t="inlineStr">
        <is>
          <t>Hospital de Santo André, em Leiria</t>
        </is>
      </c>
      <c r="F24" s="11" t="n">
        <v>5579</v>
      </c>
      <c r="G24" s="11" t="n">
        <v>44.9</v>
      </c>
      <c r="H24" s="11" t="n">
        <v>37</v>
      </c>
      <c r="I24" s="11" t="n">
        <v>44.9</v>
      </c>
      <c r="J24" s="11" t="n">
        <v>77</v>
      </c>
      <c r="K24" s="11" t="n">
        <v>20</v>
      </c>
      <c r="L24" s="11" t="n">
        <v>20</v>
      </c>
      <c r="M24" s="11" t="n">
        <v>40</v>
      </c>
      <c r="N24" s="11" t="inlineStr">
        <is>
          <t>Sim</t>
        </is>
      </c>
      <c r="O24" s="11" t="n">
        <v>40</v>
      </c>
      <c r="P24" s="11" t="n">
        <v>108.1</v>
      </c>
      <c r="Q24" s="11" t="inlineStr">
        <is>
          <t>Não</t>
        </is>
      </c>
      <c r="R24" s="11" t="inlineStr">
        <is>
          <t>Sim</t>
        </is>
      </c>
      <c r="S24" s="11" t="inlineStr">
        <is>
          <t>Sim</t>
        </is>
      </c>
    </row>
    <row r="25">
      <c r="A25" s="11" t="inlineStr">
        <is>
          <t>Leiria</t>
        </is>
      </c>
      <c r="B25" s="11" t="inlineStr">
        <is>
          <t>Pombal</t>
        </is>
      </c>
      <c r="C25" s="11" t="inlineStr">
        <is>
          <t>União das freguesias de Guia, Ilha e Mata Mourisca (Pombal)</t>
        </is>
      </c>
      <c r="D25" s="11" t="inlineStr">
        <is>
          <t>Unidade Local de Saúde da Região de Leiria</t>
        </is>
      </c>
      <c r="E25" s="11" t="inlineStr">
        <is>
          <t>Hospital de Santo André, em Leiria</t>
        </is>
      </c>
      <c r="F25" s="11" t="n">
        <v>6039</v>
      </c>
      <c r="G25" s="11" t="n">
        <v>55.2</v>
      </c>
      <c r="H25" s="11" t="n">
        <v>41.1</v>
      </c>
      <c r="I25" s="11" t="n">
        <v>55.2</v>
      </c>
      <c r="J25" s="11" t="n">
        <v>67.09999999999999</v>
      </c>
      <c r="K25" s="11" t="n">
        <v>0</v>
      </c>
      <c r="L25" s="11" t="n">
        <v>20</v>
      </c>
      <c r="M25" s="11" t="n">
        <v>20</v>
      </c>
      <c r="N25" s="11" t="inlineStr">
        <is>
          <t>Sim</t>
        </is>
      </c>
      <c r="O25" s="11" t="n">
        <v>26</v>
      </c>
      <c r="P25" s="11" t="n">
        <v>63.2</v>
      </c>
      <c r="Q25" s="11" t="inlineStr">
        <is>
          <t>Não</t>
        </is>
      </c>
      <c r="R25" s="11" t="inlineStr">
        <is>
          <t>Sim</t>
        </is>
      </c>
      <c r="S25" s="11" t="inlineStr">
        <is>
          <t>Sim</t>
        </is>
      </c>
    </row>
    <row r="26">
      <c r="A26" s="11" t="inlineStr">
        <is>
          <t>Leiria</t>
        </is>
      </c>
      <c r="B26" s="11" t="inlineStr">
        <is>
          <t>Pombal</t>
        </is>
      </c>
      <c r="C26" s="11" t="inlineStr">
        <is>
          <t>Carriço (Pombal)</t>
        </is>
      </c>
      <c r="D26" s="11" t="inlineStr">
        <is>
          <t>Unidade Local de Saúde da Região de Leiria</t>
        </is>
      </c>
      <c r="E26" s="11" t="inlineStr">
        <is>
          <t>Hospital de Santo André, em Leiria</t>
        </is>
      </c>
      <c r="F26" s="11" t="n">
        <v>3330</v>
      </c>
      <c r="G26" s="11" t="n">
        <v>59.9</v>
      </c>
      <c r="H26" s="11" t="n">
        <v>45.8</v>
      </c>
      <c r="I26" s="11" t="n">
        <v>59.9</v>
      </c>
      <c r="J26" s="11" t="n">
        <v>70.7</v>
      </c>
      <c r="K26" s="11" t="n">
        <v>0</v>
      </c>
      <c r="L26" s="11" t="n">
        <v>20</v>
      </c>
      <c r="M26" s="11" t="n">
        <v>20</v>
      </c>
      <c r="N26" s="11" t="inlineStr">
        <is>
          <t>Sim</t>
        </is>
      </c>
      <c r="O26" s="11" t="n">
        <v>24.9</v>
      </c>
      <c r="P26" s="11" t="n">
        <v>54.4</v>
      </c>
      <c r="Q26" s="11" t="inlineStr">
        <is>
          <t>Não</t>
        </is>
      </c>
      <c r="R26" s="11" t="inlineStr">
        <is>
          <t>Sim</t>
        </is>
      </c>
      <c r="S26" s="11" t="inlineStr">
        <is>
          <t>Sim</t>
        </is>
      </c>
    </row>
    <row r="27">
      <c r="A27" s="11" t="inlineStr">
        <is>
          <t>Leiria</t>
        </is>
      </c>
      <c r="B27" s="11" t="inlineStr">
        <is>
          <t>Pombal</t>
        </is>
      </c>
      <c r="C27" s="11" t="inlineStr">
        <is>
          <t>Louriçal (Pombal)</t>
        </is>
      </c>
      <c r="D27" s="11" t="inlineStr">
        <is>
          <t>Unidade Local de Saúde da Região de Leiria</t>
        </is>
      </c>
      <c r="E27" s="11" t="inlineStr">
        <is>
          <t>Hospital de Santo André, em Leiria</t>
        </is>
      </c>
      <c r="F27" s="11" t="n">
        <v>4203</v>
      </c>
      <c r="G27" s="11" t="n">
        <v>65.8</v>
      </c>
      <c r="H27" s="11" t="n">
        <v>52.4</v>
      </c>
      <c r="I27" s="11" t="n">
        <v>65.8</v>
      </c>
      <c r="J27" s="11" t="n">
        <v>74.40000000000001</v>
      </c>
      <c r="K27" s="11" t="n">
        <v>0</v>
      </c>
      <c r="L27" s="11" t="n">
        <v>20</v>
      </c>
      <c r="M27" s="11" t="n">
        <v>20</v>
      </c>
      <c r="N27" s="11" t="inlineStr">
        <is>
          <t>Sim</t>
        </is>
      </c>
      <c r="O27" s="11" t="n">
        <v>22</v>
      </c>
      <c r="P27" s="11" t="n">
        <v>42</v>
      </c>
      <c r="Q27" s="11" t="inlineStr">
        <is>
          <t>Não</t>
        </is>
      </c>
      <c r="R27" s="11" t="inlineStr">
        <is>
          <t>Sim</t>
        </is>
      </c>
      <c r="S27" s="11" t="inlineStr">
        <is>
          <t>Sim</t>
        </is>
      </c>
    </row>
    <row r="28">
      <c r="A28" s="11" t="inlineStr">
        <is>
          <t>Leiria</t>
        </is>
      </c>
      <c r="B28" s="11" t="inlineStr">
        <is>
          <t>Pombal</t>
        </is>
      </c>
      <c r="C28" s="11" t="inlineStr">
        <is>
          <t>Almagreira (Pombal)</t>
        </is>
      </c>
      <c r="D28" s="11" t="inlineStr">
        <is>
          <t>Unidade Local de Saúde da Região de Leiria</t>
        </is>
      </c>
      <c r="E28" s="11" t="inlineStr">
        <is>
          <t>Hospital de Santo André, em Leiria</t>
        </is>
      </c>
      <c r="F28" s="11" t="n">
        <v>2774</v>
      </c>
      <c r="G28" s="11" t="n">
        <v>69.5</v>
      </c>
      <c r="H28" s="11" t="n">
        <v>59.8</v>
      </c>
      <c r="I28" s="11" t="n">
        <v>69.5</v>
      </c>
      <c r="J28" s="11" t="n">
        <v>79.8</v>
      </c>
      <c r="K28" s="11" t="n">
        <v>0</v>
      </c>
      <c r="L28" s="11" t="n">
        <v>20</v>
      </c>
      <c r="M28" s="11" t="n">
        <v>20</v>
      </c>
      <c r="N28" s="11" t="inlineStr">
        <is>
          <t>Sim</t>
        </is>
      </c>
      <c r="O28" s="11" t="n">
        <v>20</v>
      </c>
      <c r="P28" s="11" t="n">
        <v>33.5</v>
      </c>
      <c r="Q28" s="11" t="inlineStr">
        <is>
          <t>Não</t>
        </is>
      </c>
      <c r="R28" s="11" t="inlineStr">
        <is>
          <t>Sim</t>
        </is>
      </c>
      <c r="S28" s="11" t="inlineStr">
        <is>
          <t>Sim</t>
        </is>
      </c>
    </row>
    <row r="29">
      <c r="A29" s="11" t="inlineStr">
        <is>
          <t>Leiria</t>
        </is>
      </c>
      <c r="B29" s="11" t="inlineStr">
        <is>
          <t>Pombal</t>
        </is>
      </c>
      <c r="C29" s="11" t="inlineStr">
        <is>
          <t>Carnide (Pombal)</t>
        </is>
      </c>
      <c r="D29" s="11" t="inlineStr">
        <is>
          <t>Unidade Local de Saúde da Região de Leiria</t>
        </is>
      </c>
      <c r="E29" s="11" t="inlineStr">
        <is>
          <t>Hospital de Santo André, em Leiria</t>
        </is>
      </c>
      <c r="F29" s="11" t="n">
        <v>1622</v>
      </c>
      <c r="G29" s="11" t="n">
        <v>56.1</v>
      </c>
      <c r="H29" s="11" t="n">
        <v>46.6</v>
      </c>
      <c r="I29" s="11" t="n">
        <v>56.1</v>
      </c>
      <c r="J29" s="11" t="n">
        <v>66.59999999999999</v>
      </c>
      <c r="K29" s="11" t="n">
        <v>0</v>
      </c>
      <c r="L29" s="11" t="n">
        <v>20</v>
      </c>
      <c r="M29" s="11" t="n">
        <v>20</v>
      </c>
      <c r="N29" s="11" t="inlineStr">
        <is>
          <t>Sim</t>
        </is>
      </c>
      <c r="O29" s="11" t="n">
        <v>20</v>
      </c>
      <c r="P29" s="11" t="n">
        <v>42.9</v>
      </c>
      <c r="Q29" s="11" t="inlineStr">
        <is>
          <t>Não</t>
        </is>
      </c>
      <c r="R29" s="11" t="inlineStr">
        <is>
          <t>Sim</t>
        </is>
      </c>
      <c r="S29" s="11" t="inlineStr">
        <is>
          <t>Sim</t>
        </is>
      </c>
    </row>
    <row r="30">
      <c r="A30" s="12" t="inlineStr">
        <is>
          <t>Leiria</t>
        </is>
      </c>
      <c r="B30" s="12" t="inlineStr">
        <is>
          <t>Pombal</t>
        </is>
      </c>
      <c r="C30" s="12" t="inlineStr">
        <is>
          <t>Abiul (Pombal)</t>
        </is>
      </c>
      <c r="D30" s="12" t="inlineStr">
        <is>
          <t>Unidade Local de Saúde da Região de Leiria</t>
        </is>
      </c>
      <c r="E30" s="12" t="inlineStr">
        <is>
          <t>Hospital de Santo André, em Leiria</t>
        </is>
      </c>
      <c r="F30" s="12" t="n">
        <v>2236</v>
      </c>
      <c r="G30" s="12" t="n">
        <v>83.59999999999999</v>
      </c>
      <c r="H30" s="12" t="n">
        <v>63.9</v>
      </c>
      <c r="I30" s="12" t="n">
        <v>83.59999999999999</v>
      </c>
      <c r="J30" s="12" t="n">
        <v>83.90000000000001</v>
      </c>
      <c r="K30" s="12" t="n">
        <v>0</v>
      </c>
      <c r="L30" s="12" t="n">
        <v>20</v>
      </c>
      <c r="M30" s="12" t="n">
        <v>20</v>
      </c>
      <c r="N30" s="12" t="inlineStr">
        <is>
          <t>Sim</t>
        </is>
      </c>
      <c r="O30" s="12" t="n">
        <v>20</v>
      </c>
      <c r="P30" s="12" t="n">
        <v>31.3</v>
      </c>
      <c r="Q30" s="12" t="inlineStr">
        <is>
          <t>Sim</t>
        </is>
      </c>
      <c r="R30" s="12" t="inlineStr">
        <is>
          <t>Sim</t>
        </is>
      </c>
      <c r="S30" s="12" t="inlineStr">
        <is>
          <t>Não</t>
        </is>
      </c>
    </row>
    <row r="31">
      <c r="A31" s="12" t="inlineStr">
        <is>
          <t>Leiria</t>
        </is>
      </c>
      <c r="B31" s="12" t="inlineStr">
        <is>
          <t>Pombal</t>
        </is>
      </c>
      <c r="C31" s="12" t="inlineStr">
        <is>
          <t>Pelariga (Pombal)</t>
        </is>
      </c>
      <c r="D31" s="12" t="inlineStr">
        <is>
          <t>Unidade Local de Saúde da Região de Leiria</t>
        </is>
      </c>
      <c r="E31" s="12" t="inlineStr">
        <is>
          <t>Hospital de Santo André, em Leiria</t>
        </is>
      </c>
      <c r="F31" s="12" t="n">
        <v>2012</v>
      </c>
      <c r="G31" s="12" t="n">
        <v>76.59999999999999</v>
      </c>
      <c r="H31" s="12" t="n">
        <v>60.8</v>
      </c>
      <c r="I31" s="12" t="n">
        <v>76.59999999999999</v>
      </c>
      <c r="J31" s="12" t="n">
        <v>80.8</v>
      </c>
      <c r="K31" s="12" t="n">
        <v>0</v>
      </c>
      <c r="L31" s="12" t="n">
        <v>20</v>
      </c>
      <c r="M31" s="12" t="n">
        <v>20</v>
      </c>
      <c r="N31" s="12" t="inlineStr">
        <is>
          <t>Sim</t>
        </is>
      </c>
      <c r="O31" s="12" t="n">
        <v>20</v>
      </c>
      <c r="P31" s="12" t="n">
        <v>32.9</v>
      </c>
      <c r="Q31" s="12" t="inlineStr">
        <is>
          <t>Sim</t>
        </is>
      </c>
      <c r="R31" s="12" t="inlineStr">
        <is>
          <t>Sim</t>
        </is>
      </c>
      <c r="S31" s="12" t="inlineStr">
        <is>
          <t>Não</t>
        </is>
      </c>
    </row>
    <row r="32">
      <c r="A32" s="11" t="inlineStr">
        <is>
          <t>Leiria</t>
        </is>
      </c>
      <c r="B32" s="11" t="inlineStr">
        <is>
          <t>Pombal</t>
        </is>
      </c>
      <c r="C32" s="11" t="inlineStr">
        <is>
          <t>Pombal (Pombal)</t>
        </is>
      </c>
      <c r="D32" s="11" t="inlineStr">
        <is>
          <t>Unidade Local de Saúde da Região de Leiria</t>
        </is>
      </c>
      <c r="E32" s="11" t="inlineStr">
        <is>
          <t>Hospital de Santo André, em Leiria</t>
        </is>
      </c>
      <c r="F32" s="11" t="n">
        <v>16884</v>
      </c>
      <c r="G32" s="11" t="n">
        <v>73.7</v>
      </c>
      <c r="H32" s="11" t="n">
        <v>57.4</v>
      </c>
      <c r="I32" s="11" t="n">
        <v>73.7</v>
      </c>
      <c r="J32" s="11" t="n">
        <v>77.40000000000001</v>
      </c>
      <c r="K32" s="11" t="n">
        <v>0</v>
      </c>
      <c r="L32" s="11" t="n">
        <v>20</v>
      </c>
      <c r="M32" s="11" t="n">
        <v>20</v>
      </c>
      <c r="N32" s="11" t="inlineStr">
        <is>
          <t>Sim</t>
        </is>
      </c>
      <c r="O32" s="11" t="n">
        <v>20</v>
      </c>
      <c r="P32" s="11" t="n">
        <v>34.9</v>
      </c>
      <c r="Q32" s="11" t="inlineStr">
        <is>
          <t>Não</t>
        </is>
      </c>
      <c r="R32" s="11" t="inlineStr">
        <is>
          <t>Sim</t>
        </is>
      </c>
      <c r="S32" s="11" t="inlineStr">
        <is>
          <t>Sim</t>
        </is>
      </c>
    </row>
    <row r="33">
      <c r="A33" t="inlineStr">
        <is>
          <t>Leiria</t>
        </is>
      </c>
      <c r="B33" t="inlineStr">
        <is>
          <t>Porto de Mós</t>
        </is>
      </c>
      <c r="C33" t="inlineStr">
        <is>
          <t>Calvaria de Cima (Porto de Mós)</t>
        </is>
      </c>
      <c r="D33" t="inlineStr">
        <is>
          <t>Unidade Local de Saúde da Região de Leiria</t>
        </is>
      </c>
      <c r="E33" t="inlineStr">
        <is>
          <t>Hospital de Santo André, em Leiria</t>
        </is>
      </c>
      <c r="F33" t="n">
        <v>2477</v>
      </c>
      <c r="G33" t="n">
        <v>17.5</v>
      </c>
      <c r="H33" t="n">
        <v>22.4</v>
      </c>
      <c r="I33" t="n">
        <v>17.5</v>
      </c>
      <c r="J33" t="n">
        <v>42.4</v>
      </c>
      <c r="K33" t="n">
        <v>0</v>
      </c>
      <c r="L33" t="n">
        <v>20</v>
      </c>
      <c r="M33" t="n">
        <v>20</v>
      </c>
      <c r="N33" t="inlineStr">
        <is>
          <t>Sim</t>
        </is>
      </c>
      <c r="O33" t="n">
        <v>20</v>
      </c>
      <c r="P33" t="n">
        <v>89.3</v>
      </c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</row>
    <row r="34">
      <c r="A34" t="inlineStr">
        <is>
          <t>Leiria</t>
        </is>
      </c>
      <c r="B34" t="inlineStr">
        <is>
          <t>Porto de Mós</t>
        </is>
      </c>
      <c r="C34" t="inlineStr">
        <is>
          <t>Alqueidão da Serra (Porto de Mós)</t>
        </is>
      </c>
      <c r="D34" t="inlineStr">
        <is>
          <t>Unidade Local de Saúde da Região de Leiria</t>
        </is>
      </c>
      <c r="E34" t="inlineStr">
        <is>
          <t>Hospital de Santo André, em Leiria</t>
        </is>
      </c>
      <c r="F34" t="n">
        <v>1549</v>
      </c>
      <c r="G34" t="n">
        <v>23.7</v>
      </c>
      <c r="H34" t="n">
        <v>25.8</v>
      </c>
      <c r="I34" t="n">
        <v>23.7</v>
      </c>
      <c r="J34" t="n">
        <v>45.8</v>
      </c>
      <c r="K34" t="n">
        <v>0</v>
      </c>
      <c r="L34" t="n">
        <v>20</v>
      </c>
      <c r="M34" t="n">
        <v>20</v>
      </c>
      <c r="N34" t="inlineStr">
        <is>
          <t>Sim</t>
        </is>
      </c>
      <c r="O34" t="n">
        <v>20</v>
      </c>
      <c r="P34" t="n">
        <v>77.59999999999999</v>
      </c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</row>
    <row r="35">
      <c r="A35" s="12" t="inlineStr">
        <is>
          <t>Leiria</t>
        </is>
      </c>
      <c r="B35" s="12" t="inlineStr">
        <is>
          <t>Pombal</t>
        </is>
      </c>
      <c r="C35" s="12" t="inlineStr">
        <is>
          <t>União das freguesias de Santiago e São Simão de Litém e Albergaria dos Doze (Pombal)</t>
        </is>
      </c>
      <c r="D35" s="12" t="inlineStr">
        <is>
          <t>Unidade Local de Saúde da Região de Leiria</t>
        </is>
      </c>
      <c r="E35" s="12" t="inlineStr">
        <is>
          <t>Hospital de Santo André, em Leiria</t>
        </is>
      </c>
      <c r="F35" s="12" t="n">
        <v>4715</v>
      </c>
      <c r="G35" s="12" t="n">
        <v>58.7</v>
      </c>
      <c r="H35" s="12" t="n">
        <v>60.9</v>
      </c>
      <c r="I35" s="12" t="n">
        <v>58.7</v>
      </c>
      <c r="J35" s="12" t="n">
        <v>80.90000000000001</v>
      </c>
      <c r="K35" s="12" t="n">
        <v>0</v>
      </c>
      <c r="L35" s="12" t="n">
        <v>20</v>
      </c>
      <c r="M35" s="12" t="n">
        <v>20</v>
      </c>
      <c r="N35" s="12" t="inlineStr">
        <is>
          <t>Sim</t>
        </is>
      </c>
      <c r="O35" s="12" t="n">
        <v>20</v>
      </c>
      <c r="P35" s="12" t="n">
        <v>32.8</v>
      </c>
      <c r="Q35" s="12" t="inlineStr">
        <is>
          <t>Sim</t>
        </is>
      </c>
      <c r="R35" s="12" t="inlineStr">
        <is>
          <t>Sim</t>
        </is>
      </c>
      <c r="S35" s="12" t="inlineStr">
        <is>
          <t>Não</t>
        </is>
      </c>
    </row>
    <row r="36">
      <c r="A36" t="inlineStr">
        <is>
          <t>Leiria</t>
        </is>
      </c>
      <c r="B36" t="inlineStr">
        <is>
          <t>Batalha</t>
        </is>
      </c>
      <c r="C36" t="inlineStr">
        <is>
          <t>Batalha (Batalha)</t>
        </is>
      </c>
      <c r="D36" t="inlineStr">
        <is>
          <t>Unidade Local de Saúde da Região de Leiria</t>
        </is>
      </c>
      <c r="E36" t="inlineStr">
        <is>
          <t>Hospital de Santo André, em Leiria</t>
        </is>
      </c>
      <c r="F36" t="n">
        <v>8818</v>
      </c>
      <c r="G36" t="n">
        <v>19.5</v>
      </c>
      <c r="H36" t="n">
        <v>24.2</v>
      </c>
      <c r="I36" t="n">
        <v>19.5</v>
      </c>
      <c r="J36" t="n">
        <v>44.2</v>
      </c>
      <c r="K36" t="n">
        <v>0</v>
      </c>
      <c r="L36" t="n">
        <v>20</v>
      </c>
      <c r="M36" t="n">
        <v>20</v>
      </c>
      <c r="N36" t="inlineStr">
        <is>
          <t>Sim</t>
        </is>
      </c>
      <c r="O36" t="n">
        <v>20</v>
      </c>
      <c r="P36" t="n">
        <v>82.8</v>
      </c>
      <c r="Q36" t="inlineStr">
        <is>
          <t>Não</t>
        </is>
      </c>
      <c r="R36" t="inlineStr">
        <is>
          <t>Não</t>
        </is>
      </c>
      <c r="S36" t="inlineStr">
        <is>
          <t>Não</t>
        </is>
      </c>
    </row>
    <row r="37">
      <c r="A37" t="inlineStr">
        <is>
          <t>Leiria</t>
        </is>
      </c>
      <c r="B37" t="inlineStr">
        <is>
          <t>Ansião</t>
        </is>
      </c>
      <c r="C37" t="inlineStr">
        <is>
          <t>Chão de Couce (Ansião)</t>
        </is>
      </c>
      <c r="D37" t="inlineStr">
        <is>
          <t>Unidade Local de Saúde de Coimbra</t>
        </is>
      </c>
      <c r="E37" t="inlineStr">
        <is>
          <t>Hospitais da Universidade de Coimbra</t>
        </is>
      </c>
      <c r="F37" t="n">
        <v>1684</v>
      </c>
      <c r="G37" t="n">
        <v>45.1</v>
      </c>
      <c r="H37" t="n">
        <v>39.1</v>
      </c>
      <c r="I37" t="n">
        <v>45.1</v>
      </c>
      <c r="J37" t="n">
        <v>59.1</v>
      </c>
      <c r="K37" t="n">
        <v>0</v>
      </c>
      <c r="L37" t="n">
        <v>20</v>
      </c>
      <c r="M37" t="n">
        <v>20</v>
      </c>
      <c r="N37" t="inlineStr">
        <is>
          <t>Sim</t>
        </is>
      </c>
      <c r="O37" t="n">
        <v>20</v>
      </c>
      <c r="P37" t="n">
        <v>51.2</v>
      </c>
      <c r="Q37" t="inlineStr">
        <is>
          <t>Não</t>
        </is>
      </c>
      <c r="R37" t="inlineStr">
        <is>
          <t>Não</t>
        </is>
      </c>
      <c r="S37" t="inlineStr">
        <is>
          <t>Não</t>
        </is>
      </c>
    </row>
    <row r="38">
      <c r="A38" s="11" t="inlineStr">
        <is>
          <t>Leiria</t>
        </is>
      </c>
      <c r="B38" s="11" t="inlineStr">
        <is>
          <t>Ansião</t>
        </is>
      </c>
      <c r="C38" s="11" t="inlineStr">
        <is>
          <t>Santiago da Guarda (Ansião)</t>
        </is>
      </c>
      <c r="D38" s="11" t="inlineStr">
        <is>
          <t>Unidade Local de Saúde de Coimbra</t>
        </is>
      </c>
      <c r="E38" s="11" t="inlineStr">
        <is>
          <t>Hospitais da Universidade de Coimbra</t>
        </is>
      </c>
      <c r="F38" s="11" t="n">
        <v>2652</v>
      </c>
      <c r="G38" s="11" t="n">
        <v>44.4</v>
      </c>
      <c r="H38" s="11" t="n">
        <v>41.9</v>
      </c>
      <c r="I38" s="11" t="n">
        <v>44.4</v>
      </c>
      <c r="J38" s="11" t="n">
        <v>61.9</v>
      </c>
      <c r="K38" s="11" t="n">
        <v>0</v>
      </c>
      <c r="L38" s="11" t="n">
        <v>20</v>
      </c>
      <c r="M38" s="11" t="n">
        <v>20</v>
      </c>
      <c r="N38" s="11" t="inlineStr">
        <is>
          <t>Sim</t>
        </is>
      </c>
      <c r="O38" s="11" t="n">
        <v>20</v>
      </c>
      <c r="P38" s="11" t="n">
        <v>47.7</v>
      </c>
      <c r="Q38" s="11" t="inlineStr">
        <is>
          <t>Não</t>
        </is>
      </c>
      <c r="R38" s="11" t="inlineStr">
        <is>
          <t>Sim</t>
        </is>
      </c>
      <c r="S38" s="11" t="inlineStr">
        <is>
          <t>Sim</t>
        </is>
      </c>
    </row>
    <row r="39">
      <c r="A39" t="inlineStr">
        <is>
          <t>Leiria</t>
        </is>
      </c>
      <c r="B39" t="inlineStr">
        <is>
          <t>Batalha</t>
        </is>
      </c>
      <c r="C39" t="inlineStr">
        <is>
          <t>Golpilheira (Batalha)</t>
        </is>
      </c>
      <c r="D39" t="inlineStr">
        <is>
          <t>Unidade Local de Saúde da Região de Leiria</t>
        </is>
      </c>
      <c r="E39" t="inlineStr">
        <is>
          <t>Hospital de Santo André, em Leiria</t>
        </is>
      </c>
      <c r="F39" t="n">
        <v>1447</v>
      </c>
      <c r="G39" t="n">
        <v>23.8</v>
      </c>
      <c r="H39" t="n">
        <v>28.8</v>
      </c>
      <c r="I39" t="n">
        <v>23.8</v>
      </c>
      <c r="J39" t="n">
        <v>48.8</v>
      </c>
      <c r="K39" t="n">
        <v>0</v>
      </c>
      <c r="L39" t="n">
        <v>20</v>
      </c>
      <c r="M39" t="n">
        <v>20</v>
      </c>
      <c r="N39" t="inlineStr">
        <is>
          <t>Sim</t>
        </is>
      </c>
      <c r="O39" t="n">
        <v>20</v>
      </c>
      <c r="P39" t="n">
        <v>69.5</v>
      </c>
      <c r="Q39" t="inlineStr">
        <is>
          <t>Não</t>
        </is>
      </c>
      <c r="R39" t="inlineStr">
        <is>
          <t>Não</t>
        </is>
      </c>
      <c r="S39" t="inlineStr">
        <is>
          <t>Não</t>
        </is>
      </c>
    </row>
    <row r="40">
      <c r="A40" t="inlineStr">
        <is>
          <t>Leiria</t>
        </is>
      </c>
      <c r="B40" t="inlineStr">
        <is>
          <t>Batalha</t>
        </is>
      </c>
      <c r="C40" t="inlineStr">
        <is>
          <t>Reguengo do Fetal (Batalha)</t>
        </is>
      </c>
      <c r="D40" t="inlineStr">
        <is>
          <t>Unidade Local de Saúde da Região de Leiria</t>
        </is>
      </c>
      <c r="E40" t="inlineStr">
        <is>
          <t>Hospital de Santo André, em Leiria</t>
        </is>
      </c>
      <c r="F40" t="n">
        <v>1907</v>
      </c>
      <c r="G40" t="n">
        <v>26.9</v>
      </c>
      <c r="H40" t="n">
        <v>32.8</v>
      </c>
      <c r="I40" t="n">
        <v>26.9</v>
      </c>
      <c r="J40" t="n">
        <v>52.8</v>
      </c>
      <c r="K40" t="n">
        <v>0</v>
      </c>
      <c r="L40" t="n">
        <v>20</v>
      </c>
      <c r="M40" t="n">
        <v>20</v>
      </c>
      <c r="N40" t="inlineStr">
        <is>
          <t>Sim</t>
        </is>
      </c>
      <c r="O40" t="n">
        <v>20</v>
      </c>
      <c r="P40" t="n">
        <v>61</v>
      </c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</row>
    <row r="41">
      <c r="A41" t="inlineStr">
        <is>
          <t>Leiria</t>
        </is>
      </c>
      <c r="B41" t="inlineStr">
        <is>
          <t>Ansião</t>
        </is>
      </c>
      <c r="C41" t="inlineStr">
        <is>
          <t>Alvorge (Ansião)</t>
        </is>
      </c>
      <c r="D41" t="inlineStr">
        <is>
          <t>Unidade Local de Saúde de Coimbra</t>
        </is>
      </c>
      <c r="E41" t="inlineStr">
        <is>
          <t>Hospitais da Universidade de Coimbra</t>
        </is>
      </c>
      <c r="F41" t="n">
        <v>1051</v>
      </c>
      <c r="G41" t="n">
        <v>36.2</v>
      </c>
      <c r="H41" t="n">
        <v>38.1</v>
      </c>
      <c r="I41" t="n">
        <v>36.2</v>
      </c>
      <c r="J41" t="n">
        <v>58.1</v>
      </c>
      <c r="K41" t="n">
        <v>0</v>
      </c>
      <c r="L41" t="n">
        <v>20</v>
      </c>
      <c r="M41" t="n">
        <v>20</v>
      </c>
      <c r="N41" t="inlineStr">
        <is>
          <t>Sim</t>
        </is>
      </c>
      <c r="O41" t="n">
        <v>20</v>
      </c>
      <c r="P41" t="n">
        <v>52.5</v>
      </c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</row>
    <row r="42">
      <c r="A42" s="11" t="inlineStr">
        <is>
          <t>Leiria</t>
        </is>
      </c>
      <c r="B42" s="11" t="inlineStr">
        <is>
          <t>Ansião</t>
        </is>
      </c>
      <c r="C42" s="11" t="inlineStr">
        <is>
          <t>Ansião (Ansião)</t>
        </is>
      </c>
      <c r="D42" s="11" t="inlineStr">
        <is>
          <t>Unidade Local de Saúde de Coimbra</t>
        </is>
      </c>
      <c r="E42" s="11" t="inlineStr">
        <is>
          <t>Hospitais da Universidade de Coimbra</t>
        </is>
      </c>
      <c r="F42" s="11" t="n">
        <v>3524</v>
      </c>
      <c r="G42" s="11" t="n">
        <v>42.6</v>
      </c>
      <c r="H42" s="11" t="n">
        <v>42.8</v>
      </c>
      <c r="I42" s="11" t="n">
        <v>42.6</v>
      </c>
      <c r="J42" s="11" t="n">
        <v>62.8</v>
      </c>
      <c r="K42" s="11" t="n">
        <v>0</v>
      </c>
      <c r="L42" s="11" t="n">
        <v>20</v>
      </c>
      <c r="M42" s="11" t="n">
        <v>20</v>
      </c>
      <c r="N42" s="11" t="inlineStr">
        <is>
          <t>Sim</t>
        </is>
      </c>
      <c r="O42" s="11" t="n">
        <v>20</v>
      </c>
      <c r="P42" s="11" t="n">
        <v>46.8</v>
      </c>
      <c r="Q42" s="11" t="inlineStr">
        <is>
          <t>Não</t>
        </is>
      </c>
      <c r="R42" s="11" t="inlineStr">
        <is>
          <t>Sim</t>
        </is>
      </c>
      <c r="S42" s="11" t="inlineStr">
        <is>
          <t>Sim</t>
        </is>
      </c>
    </row>
    <row r="43">
      <c r="A43" s="11" t="inlineStr">
        <is>
          <t>Leiria</t>
        </is>
      </c>
      <c r="B43" s="11" t="inlineStr">
        <is>
          <t>Ansião</t>
        </is>
      </c>
      <c r="C43" s="11" t="inlineStr">
        <is>
          <t>Pousaflores (Ansião)</t>
        </is>
      </c>
      <c r="D43" s="11" t="inlineStr">
        <is>
          <t>Unidade Local de Saúde de Coimbra</t>
        </is>
      </c>
      <c r="E43" s="11" t="inlineStr">
        <is>
          <t>Hospitais da Universidade de Coimbra</t>
        </is>
      </c>
      <c r="F43" s="11" t="n">
        <v>802</v>
      </c>
      <c r="G43" s="11" t="n">
        <v>49.4</v>
      </c>
      <c r="H43" s="11" t="n">
        <v>45.4</v>
      </c>
      <c r="I43" s="11" t="n">
        <v>49.4</v>
      </c>
      <c r="J43" s="11" t="n">
        <v>65.40000000000001</v>
      </c>
      <c r="K43" s="11" t="n">
        <v>0</v>
      </c>
      <c r="L43" s="11" t="n">
        <v>20</v>
      </c>
      <c r="M43" s="11" t="n">
        <v>20</v>
      </c>
      <c r="N43" s="11" t="inlineStr">
        <is>
          <t>Sim</t>
        </is>
      </c>
      <c r="O43" s="11" t="n">
        <v>20</v>
      </c>
      <c r="P43" s="11" t="n">
        <v>44.1</v>
      </c>
      <c r="Q43" s="11" t="inlineStr">
        <is>
          <t>Não</t>
        </is>
      </c>
      <c r="R43" s="11" t="inlineStr">
        <is>
          <t>Sim</t>
        </is>
      </c>
      <c r="S43" s="11" t="inlineStr">
        <is>
          <t>Sim</t>
        </is>
      </c>
    </row>
    <row r="44">
      <c r="A44" t="inlineStr">
        <is>
          <t>Leiria</t>
        </is>
      </c>
      <c r="B44" t="inlineStr">
        <is>
          <t>Batalha</t>
        </is>
      </c>
      <c r="C44" t="inlineStr">
        <is>
          <t>São Mamede (Batalha)</t>
        </is>
      </c>
      <c r="D44" t="inlineStr">
        <is>
          <t>Unidade Local de Saúde da Região de Leiria</t>
        </is>
      </c>
      <c r="E44" t="inlineStr">
        <is>
          <t>Hospital de Santo André, em Leiria</t>
        </is>
      </c>
      <c r="F44" t="n">
        <v>3385</v>
      </c>
      <c r="G44" t="n">
        <v>30</v>
      </c>
      <c r="H44" t="n">
        <v>35.4</v>
      </c>
      <c r="I44" t="n">
        <v>30</v>
      </c>
      <c r="J44" t="n">
        <v>55.4</v>
      </c>
      <c r="K44" t="n">
        <v>0</v>
      </c>
      <c r="L44" t="n">
        <v>20</v>
      </c>
      <c r="M44" t="n">
        <v>20</v>
      </c>
      <c r="N44" t="inlineStr">
        <is>
          <t>Sim</t>
        </is>
      </c>
      <c r="O44" t="n">
        <v>20</v>
      </c>
      <c r="P44" t="n">
        <v>56.5</v>
      </c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</row>
    <row r="45">
      <c r="A45" t="inlineStr">
        <is>
          <t>Leiria</t>
        </is>
      </c>
      <c r="B45" t="inlineStr">
        <is>
          <t>Ansião</t>
        </is>
      </c>
      <c r="C45" t="inlineStr">
        <is>
          <t>Avelar (Ansião)</t>
        </is>
      </c>
      <c r="D45" t="inlineStr">
        <is>
          <t>Unidade Local de Saúde de Coimbra</t>
        </is>
      </c>
      <c r="E45" t="inlineStr">
        <is>
          <t>Hospitais da Universidade de Coimbra</t>
        </is>
      </c>
      <c r="F45" t="n">
        <v>1929</v>
      </c>
      <c r="G45" t="n">
        <v>42.9</v>
      </c>
      <c r="H45" t="n">
        <v>36.2</v>
      </c>
      <c r="I45" t="n">
        <v>42.9</v>
      </c>
      <c r="J45" t="n">
        <v>56.2</v>
      </c>
      <c r="K45" t="n">
        <v>0</v>
      </c>
      <c r="L45" t="n">
        <v>20</v>
      </c>
      <c r="M45" t="n">
        <v>20</v>
      </c>
      <c r="N45" t="inlineStr">
        <is>
          <t>Sim</t>
        </is>
      </c>
      <c r="O45" t="n">
        <v>20</v>
      </c>
      <c r="P45" t="n">
        <v>55.2</v>
      </c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</row>
    <row r="46">
      <c r="A46" t="inlineStr">
        <is>
          <t>Leiria</t>
        </is>
      </c>
      <c r="B46" t="inlineStr">
        <is>
          <t>Porto de Mós</t>
        </is>
      </c>
      <c r="C46" t="inlineStr">
        <is>
          <t>Pedreiras (Porto de Mós)</t>
        </is>
      </c>
      <c r="D46" t="inlineStr">
        <is>
          <t>Unidade Local de Saúde da Região de Leiria</t>
        </is>
      </c>
      <c r="E46" t="inlineStr">
        <is>
          <t>Hospital de Santo André, em Leiria</t>
        </is>
      </c>
      <c r="F46" t="n">
        <v>2548</v>
      </c>
      <c r="G46" t="n">
        <v>14.1</v>
      </c>
      <c r="H46" t="n">
        <v>14.9</v>
      </c>
      <c r="I46" t="n">
        <v>14.1</v>
      </c>
      <c r="J46" t="n">
        <v>34.9</v>
      </c>
      <c r="K46" t="n">
        <v>0</v>
      </c>
      <c r="L46" t="n">
        <v>20</v>
      </c>
      <c r="M46" t="n">
        <v>20</v>
      </c>
      <c r="N46" t="inlineStr">
        <is>
          <t>Sim</t>
        </is>
      </c>
      <c r="O46" t="n">
        <v>20</v>
      </c>
      <c r="P46" t="n">
        <v>134.6</v>
      </c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</row>
    <row r="47">
      <c r="A47" t="inlineStr">
        <is>
          <t>Leiria</t>
        </is>
      </c>
      <c r="B47" t="inlineStr">
        <is>
          <t>Porto de Mós</t>
        </is>
      </c>
      <c r="C47" t="inlineStr">
        <is>
          <t>Mira de Aire (Porto de Mós)</t>
        </is>
      </c>
      <c r="D47" t="inlineStr">
        <is>
          <t>Unidade Local de Saúde da Região de Leiria</t>
        </is>
      </c>
      <c r="E47" t="inlineStr">
        <is>
          <t>Hospital de Santo André, em Leiria</t>
        </is>
      </c>
      <c r="F47" t="n">
        <v>3482</v>
      </c>
      <c r="G47" t="n">
        <v>33.4</v>
      </c>
      <c r="H47" t="n">
        <v>37.2</v>
      </c>
      <c r="I47" t="n">
        <v>33.4</v>
      </c>
      <c r="J47" t="n">
        <v>57.2</v>
      </c>
      <c r="K47" t="n">
        <v>0</v>
      </c>
      <c r="L47" t="n">
        <v>20</v>
      </c>
      <c r="M47" t="n">
        <v>20</v>
      </c>
      <c r="N47" t="inlineStr">
        <is>
          <t>Sim</t>
        </is>
      </c>
      <c r="O47" t="n">
        <v>20</v>
      </c>
      <c r="P47" t="n">
        <v>53.8</v>
      </c>
      <c r="Q47" t="inlineStr">
        <is>
          <t>Não</t>
        </is>
      </c>
      <c r="R47" t="inlineStr">
        <is>
          <t>Não</t>
        </is>
      </c>
      <c r="S47" t="inlineStr">
        <is>
          <t>Não</t>
        </is>
      </c>
    </row>
    <row r="48">
      <c r="A48" t="inlineStr">
        <is>
          <t>Leiria</t>
        </is>
      </c>
      <c r="B48" t="inlineStr">
        <is>
          <t>Porto de Mós</t>
        </is>
      </c>
      <c r="C48" t="inlineStr">
        <is>
          <t>Serro Ventoso (Porto de Mós)</t>
        </is>
      </c>
      <c r="D48" t="inlineStr">
        <is>
          <t>Unidade Local de Saúde da Região de Leiria</t>
        </is>
      </c>
      <c r="E48" t="inlineStr">
        <is>
          <t>Hospital de Santo André, em Leiria</t>
        </is>
      </c>
      <c r="F48" t="n">
        <v>892</v>
      </c>
      <c r="G48" t="n">
        <v>24.6</v>
      </c>
      <c r="H48" t="n">
        <v>28.7</v>
      </c>
      <c r="I48" t="n">
        <v>24.6</v>
      </c>
      <c r="J48" t="n">
        <v>48.7</v>
      </c>
      <c r="K48" t="n">
        <v>0</v>
      </c>
      <c r="L48" t="n">
        <v>20</v>
      </c>
      <c r="M48" t="n">
        <v>20</v>
      </c>
      <c r="N48" t="inlineStr">
        <is>
          <t>Sim</t>
        </is>
      </c>
      <c r="O48" t="n">
        <v>20</v>
      </c>
      <c r="P48" t="n">
        <v>69.7</v>
      </c>
      <c r="Q48" t="inlineStr">
        <is>
          <t>Não</t>
        </is>
      </c>
      <c r="R48" t="inlineStr">
        <is>
          <t>Não</t>
        </is>
      </c>
      <c r="S48" t="inlineStr">
        <is>
          <t>Não</t>
        </is>
      </c>
    </row>
    <row r="49">
      <c r="A49" s="11" t="inlineStr">
        <is>
          <t>Leiria</t>
        </is>
      </c>
      <c r="B49" s="11" t="inlineStr">
        <is>
          <t>Pombal</t>
        </is>
      </c>
      <c r="C49" s="11" t="inlineStr">
        <is>
          <t>Vermoil (Pombal)</t>
        </is>
      </c>
      <c r="D49" s="11" t="inlineStr">
        <is>
          <t>Unidade Local de Saúde da Região de Leiria</t>
        </is>
      </c>
      <c r="E49" s="11" t="inlineStr">
        <is>
          <t>Hospital de Santo André, em Leiria</t>
        </is>
      </c>
      <c r="F49" s="11" t="n">
        <v>2436</v>
      </c>
      <c r="G49" s="11" t="n">
        <v>51.1</v>
      </c>
      <c r="H49" s="11" t="n">
        <v>51.9</v>
      </c>
      <c r="I49" s="11" t="n">
        <v>51.1</v>
      </c>
      <c r="J49" s="11" t="n">
        <v>71.90000000000001</v>
      </c>
      <c r="K49" s="11" t="n">
        <v>0</v>
      </c>
      <c r="L49" s="11" t="n">
        <v>20</v>
      </c>
      <c r="M49" s="11" t="n">
        <v>20</v>
      </c>
      <c r="N49" s="11" t="inlineStr">
        <is>
          <t>Sim</t>
        </is>
      </c>
      <c r="O49" s="11" t="n">
        <v>20</v>
      </c>
      <c r="P49" s="11" t="n">
        <v>38.5</v>
      </c>
      <c r="Q49" s="11" t="inlineStr">
        <is>
          <t>Não</t>
        </is>
      </c>
      <c r="R49" s="11" t="inlineStr">
        <is>
          <t>Sim</t>
        </is>
      </c>
      <c r="S49" s="11" t="inlineStr">
        <is>
          <t>Sim</t>
        </is>
      </c>
    </row>
    <row r="50">
      <c r="A50" s="12" t="inlineStr">
        <is>
          <t>Leiria</t>
        </is>
      </c>
      <c r="B50" s="12" t="inlineStr">
        <is>
          <t>Pombal</t>
        </is>
      </c>
      <c r="C50" s="12" t="inlineStr">
        <is>
          <t>Vila Cã (Pombal)</t>
        </is>
      </c>
      <c r="D50" s="12" t="inlineStr">
        <is>
          <t>Unidade Local de Saúde da Região de Leiria</t>
        </is>
      </c>
      <c r="E50" s="12" t="inlineStr">
        <is>
          <t>Hospital de Santo André, em Leiria</t>
        </is>
      </c>
      <c r="F50" s="12" t="n">
        <v>1401</v>
      </c>
      <c r="G50" s="12" t="n">
        <v>82.90000000000001</v>
      </c>
      <c r="H50" s="12" t="n">
        <v>62.7</v>
      </c>
      <c r="I50" s="12" t="n">
        <v>82.90000000000001</v>
      </c>
      <c r="J50" s="12" t="n">
        <v>82.7</v>
      </c>
      <c r="K50" s="12" t="n">
        <v>0</v>
      </c>
      <c r="L50" s="12" t="n">
        <v>20</v>
      </c>
      <c r="M50" s="12" t="n">
        <v>20</v>
      </c>
      <c r="N50" s="12" t="inlineStr">
        <is>
          <t>Sim</t>
        </is>
      </c>
      <c r="O50" s="12" t="n">
        <v>20</v>
      </c>
      <c r="P50" s="12" t="n">
        <v>31.9</v>
      </c>
      <c r="Q50" s="12" t="inlineStr">
        <is>
          <t>Sim</t>
        </is>
      </c>
      <c r="R50" s="12" t="inlineStr">
        <is>
          <t>Sim</t>
        </is>
      </c>
      <c r="S50" s="12" t="inlineStr">
        <is>
          <t>Não</t>
        </is>
      </c>
    </row>
    <row r="51">
      <c r="A51" s="12" t="inlineStr">
        <is>
          <t>Leiria</t>
        </is>
      </c>
      <c r="B51" s="12" t="inlineStr">
        <is>
          <t>Pombal</t>
        </is>
      </c>
      <c r="C51" s="12" t="inlineStr">
        <is>
          <t>Redinha (Pombal)</t>
        </is>
      </c>
      <c r="D51" s="12" t="inlineStr">
        <is>
          <t>Unidade Local de Saúde da Região de Leiria</t>
        </is>
      </c>
      <c r="E51" s="12" t="inlineStr">
        <is>
          <t>Hospital de Santo André, em Leiria</t>
        </is>
      </c>
      <c r="F51" s="12" t="n">
        <v>1869</v>
      </c>
      <c r="G51" s="12" t="n">
        <v>80</v>
      </c>
      <c r="H51" s="12" t="n">
        <v>61</v>
      </c>
      <c r="I51" s="12" t="n">
        <v>80</v>
      </c>
      <c r="J51" s="12" t="n">
        <v>81</v>
      </c>
      <c r="K51" s="12" t="n">
        <v>0</v>
      </c>
      <c r="L51" s="12" t="n">
        <v>20</v>
      </c>
      <c r="M51" s="12" t="n">
        <v>20</v>
      </c>
      <c r="N51" s="12" t="inlineStr">
        <is>
          <t>Sim</t>
        </is>
      </c>
      <c r="O51" s="12" t="n">
        <v>20</v>
      </c>
      <c r="P51" s="12" t="n">
        <v>32.8</v>
      </c>
      <c r="Q51" s="12" t="inlineStr">
        <is>
          <t>Sim</t>
        </is>
      </c>
      <c r="R51" s="12" t="inlineStr">
        <is>
          <t>Sim</t>
        </is>
      </c>
      <c r="S51" s="12" t="inlineStr">
        <is>
          <t>Não</t>
        </is>
      </c>
    </row>
    <row r="52">
      <c r="A52" t="inlineStr">
        <is>
          <t>Leiria</t>
        </is>
      </c>
      <c r="B52" t="inlineStr">
        <is>
          <t>Porto de Mós</t>
        </is>
      </c>
      <c r="C52" t="inlineStr">
        <is>
          <t>São Bento (Porto de Mós)</t>
        </is>
      </c>
      <c r="D52" t="inlineStr">
        <is>
          <t>Unidade Local de Saúde da Região de Leiria</t>
        </is>
      </c>
      <c r="E52" t="inlineStr">
        <is>
          <t>Hospital de Santo André, em Leiria</t>
        </is>
      </c>
      <c r="F52" t="n">
        <v>751</v>
      </c>
      <c r="G52" t="n">
        <v>32.2</v>
      </c>
      <c r="H52" t="n">
        <v>39.9</v>
      </c>
      <c r="I52" t="n">
        <v>32.2</v>
      </c>
      <c r="J52" t="n">
        <v>59.9</v>
      </c>
      <c r="K52" t="n">
        <v>0</v>
      </c>
      <c r="L52" t="n">
        <v>20</v>
      </c>
      <c r="M52" t="n">
        <v>20</v>
      </c>
      <c r="N52" t="inlineStr">
        <is>
          <t>Sim</t>
        </is>
      </c>
      <c r="O52" t="n">
        <v>20</v>
      </c>
      <c r="P52" t="n">
        <v>50.1</v>
      </c>
      <c r="Q52" t="inlineStr">
        <is>
          <t>Não</t>
        </is>
      </c>
      <c r="R52" t="inlineStr">
        <is>
          <t>Não</t>
        </is>
      </c>
      <c r="S52" t="inlineStr">
        <is>
          <t>Não</t>
        </is>
      </c>
    </row>
    <row r="53">
      <c r="A53" t="inlineStr">
        <is>
          <t>Leiria</t>
        </is>
      </c>
      <c r="B53" t="inlineStr">
        <is>
          <t>Porto de Mós</t>
        </is>
      </c>
      <c r="C53" t="inlineStr">
        <is>
          <t>União das freguesias de Alvados e Alcaria (Porto de Mós)</t>
        </is>
      </c>
      <c r="D53" t="inlineStr">
        <is>
          <t>Unidade Local de Saúde da Região de Leiria</t>
        </is>
      </c>
      <c r="E53" t="inlineStr">
        <is>
          <t>Hospital de Santo André, em Leiria</t>
        </is>
      </c>
      <c r="F53" t="n">
        <v>731</v>
      </c>
      <c r="G53" t="n">
        <v>27.4</v>
      </c>
      <c r="H53" t="n">
        <v>31.4</v>
      </c>
      <c r="I53" t="n">
        <v>27.4</v>
      </c>
      <c r="J53" t="n">
        <v>51.4</v>
      </c>
      <c r="K53" t="n">
        <v>0</v>
      </c>
      <c r="L53" t="n">
        <v>20</v>
      </c>
      <c r="M53" t="n">
        <v>20</v>
      </c>
      <c r="N53" t="inlineStr">
        <is>
          <t>Sim</t>
        </is>
      </c>
      <c r="O53" t="n">
        <v>20</v>
      </c>
      <c r="P53" t="n">
        <v>63.8</v>
      </c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</row>
    <row r="54">
      <c r="A54" t="inlineStr">
        <is>
          <t>Leiria</t>
        </is>
      </c>
      <c r="B54" t="inlineStr">
        <is>
          <t>Porto de Mós</t>
        </is>
      </c>
      <c r="C54" t="inlineStr">
        <is>
          <t>Porto de Mós - São João Baptista e São Pedro (Porto de Mós)</t>
        </is>
      </c>
      <c r="D54" t="inlineStr">
        <is>
          <t>Unidade Local de Saúde da Região de Leiria</t>
        </is>
      </c>
      <c r="E54" t="inlineStr">
        <is>
          <t>Hospital de Santo André, em Leiria</t>
        </is>
      </c>
      <c r="F54" t="n">
        <v>6001</v>
      </c>
      <c r="G54" t="n">
        <v>19.9</v>
      </c>
      <c r="H54" t="n">
        <v>21.7</v>
      </c>
      <c r="I54" t="n">
        <v>19.9</v>
      </c>
      <c r="J54" t="n">
        <v>41.7</v>
      </c>
      <c r="K54" t="n">
        <v>0</v>
      </c>
      <c r="L54" t="n">
        <v>20</v>
      </c>
      <c r="M54" t="n">
        <v>20</v>
      </c>
      <c r="N54" t="inlineStr">
        <is>
          <t>Sim</t>
        </is>
      </c>
      <c r="O54" t="n">
        <v>20</v>
      </c>
      <c r="P54" t="n">
        <v>92.2</v>
      </c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</row>
    <row r="55">
      <c r="A55" t="inlineStr">
        <is>
          <t>Leiria</t>
        </is>
      </c>
      <c r="B55" t="inlineStr">
        <is>
          <t>Porto de Mós</t>
        </is>
      </c>
      <c r="C55" t="inlineStr">
        <is>
          <t>União das freguesias de Arrimal e Mendiga (Porto de Mós)</t>
        </is>
      </c>
      <c r="D55" t="inlineStr">
        <is>
          <t>Unidade Local de Saúde da Região de Leiria</t>
        </is>
      </c>
      <c r="E55" t="inlineStr">
        <is>
          <t>Hospital de Santo André, em Leiria</t>
        </is>
      </c>
      <c r="F55" t="n">
        <v>1574</v>
      </c>
      <c r="G55" t="n">
        <v>19.7</v>
      </c>
      <c r="H55" t="n">
        <v>30.7</v>
      </c>
      <c r="I55" t="n">
        <v>19.7</v>
      </c>
      <c r="J55" t="n">
        <v>50.7</v>
      </c>
      <c r="K55" t="n">
        <v>0</v>
      </c>
      <c r="L55" t="n">
        <v>20</v>
      </c>
      <c r="M55" t="n">
        <v>20</v>
      </c>
      <c r="N55" t="inlineStr">
        <is>
          <t>Sim</t>
        </is>
      </c>
      <c r="O55" t="n">
        <v>20</v>
      </c>
      <c r="P55" t="n">
        <v>65.2</v>
      </c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</row>
    <row r="56">
      <c r="A56" t="inlineStr">
        <is>
          <t>Leiria</t>
        </is>
      </c>
      <c r="B56" t="inlineStr">
        <is>
          <t>Porto de Mós</t>
        </is>
      </c>
      <c r="C56" t="inlineStr">
        <is>
          <t>Juncal (Porto de Mós)</t>
        </is>
      </c>
      <c r="D56" t="inlineStr">
        <is>
          <t>Unidade Local de Saúde da Região de Leiria</t>
        </is>
      </c>
      <c r="E56" t="inlineStr">
        <is>
          <t>Hospital de Santo André, em Leiria</t>
        </is>
      </c>
      <c r="F56" t="n">
        <v>3197</v>
      </c>
      <c r="G56" t="n">
        <v>11.8</v>
      </c>
      <c r="H56" t="n">
        <v>16.1</v>
      </c>
      <c r="I56" t="n">
        <v>11.8</v>
      </c>
      <c r="J56" t="n">
        <v>36.1</v>
      </c>
      <c r="K56" t="n">
        <v>0</v>
      </c>
      <c r="L56" t="n">
        <v>20</v>
      </c>
      <c r="M56" t="n">
        <v>20</v>
      </c>
      <c r="N56" t="inlineStr">
        <is>
          <t>Sim</t>
        </is>
      </c>
      <c r="O56" t="n">
        <v>20</v>
      </c>
      <c r="P56" t="n">
        <v>124</v>
      </c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</row>
    <row r="57">
      <c r="A57" s="11" t="inlineStr">
        <is>
          <t>Leiria</t>
        </is>
      </c>
      <c r="B57" s="11" t="inlineStr">
        <is>
          <t>Pombal</t>
        </is>
      </c>
      <c r="C57" s="11" t="inlineStr">
        <is>
          <t>Meirinhas (Pombal)</t>
        </is>
      </c>
      <c r="D57" s="11" t="inlineStr">
        <is>
          <t>Unidade Local de Saúde da Região de Leiria</t>
        </is>
      </c>
      <c r="E57" s="11" t="inlineStr">
        <is>
          <t>Hospital de Santo André, em Leiria</t>
        </is>
      </c>
      <c r="F57" s="11" t="n">
        <v>1649</v>
      </c>
      <c r="G57" s="11" t="n">
        <v>46.3</v>
      </c>
      <c r="H57" s="11" t="n">
        <v>47.4</v>
      </c>
      <c r="I57" s="11" t="n">
        <v>46.3</v>
      </c>
      <c r="J57" s="11" t="n">
        <v>67.40000000000001</v>
      </c>
      <c r="K57" s="11" t="n">
        <v>0</v>
      </c>
      <c r="L57" s="11" t="n">
        <v>20</v>
      </c>
      <c r="M57" s="11" t="n">
        <v>20</v>
      </c>
      <c r="N57" s="11" t="inlineStr">
        <is>
          <t>Sim</t>
        </is>
      </c>
      <c r="O57" s="11" t="n">
        <v>20</v>
      </c>
      <c r="P57" s="11" t="n">
        <v>42.2</v>
      </c>
      <c r="Q57" s="11" t="inlineStr">
        <is>
          <t>Não</t>
        </is>
      </c>
      <c r="R57" s="11" t="inlineStr">
        <is>
          <t>Sim</t>
        </is>
      </c>
      <c r="S57" s="11" t="inlineStr">
        <is>
          <t>Sim</t>
        </is>
      </c>
    </row>
    <row r="58">
      <c r="A58" t="inlineStr">
        <is>
          <t>Leiria</t>
        </is>
      </c>
      <c r="B58" t="inlineStr">
        <is>
          <t>Alvaiázere</t>
        </is>
      </c>
      <c r="C58" t="inlineStr">
        <is>
          <t>Pussos São Pedro (Alvaiázere)</t>
        </is>
      </c>
      <c r="D58" t="inlineStr">
        <is>
          <t>Unidade Local de Saúde de Coimbra</t>
        </is>
      </c>
      <c r="E58" t="inlineStr">
        <is>
          <t>Hospitais da Universidade de Coimbra</t>
        </is>
      </c>
      <c r="F58" t="n">
        <v>1697</v>
      </c>
      <c r="G58" t="n">
        <v>53.7</v>
      </c>
      <c r="H58" t="n">
        <v>42.8</v>
      </c>
      <c r="I58" t="n">
        <v>53.7</v>
      </c>
      <c r="J58" t="n">
        <v>56.4</v>
      </c>
      <c r="K58" t="n">
        <v>0</v>
      </c>
      <c r="L58" t="n">
        <v>10</v>
      </c>
      <c r="M58" t="n">
        <v>10</v>
      </c>
      <c r="N58" t="inlineStr">
        <is>
          <t>Sim</t>
        </is>
      </c>
      <c r="O58" t="n">
        <v>13.6</v>
      </c>
      <c r="P58" t="n">
        <v>31.8</v>
      </c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</row>
    <row r="59">
      <c r="A59" t="inlineStr">
        <is>
          <t>Leiria</t>
        </is>
      </c>
      <c r="B59" t="inlineStr">
        <is>
          <t>Figueiró dos Vinhos</t>
        </is>
      </c>
      <c r="C59" t="inlineStr">
        <is>
          <t>Arega (Figueiró dos Vinhos)</t>
        </is>
      </c>
      <c r="D59" t="inlineStr">
        <is>
          <t>Unidade Local de Saúde de Coimbra</t>
        </is>
      </c>
      <c r="E59" t="inlineStr">
        <is>
          <t>Hospitais da Universidade de Coimbra</t>
        </is>
      </c>
      <c r="F59" t="n">
        <v>721</v>
      </c>
      <c r="G59" t="n">
        <v>52.2</v>
      </c>
      <c r="H59" t="n">
        <v>41.7</v>
      </c>
      <c r="I59" t="n">
        <v>52.2</v>
      </c>
      <c r="J59" t="n">
        <v>51.9</v>
      </c>
      <c r="K59" t="n">
        <v>0</v>
      </c>
      <c r="L59" t="n">
        <v>10</v>
      </c>
      <c r="M59" t="n">
        <v>10</v>
      </c>
      <c r="N59" t="inlineStr">
        <is>
          <t>Sim</t>
        </is>
      </c>
      <c r="O59" t="n">
        <v>10.2</v>
      </c>
      <c r="P59" t="n">
        <v>24.4</v>
      </c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</row>
    <row r="60">
      <c r="A60" t="inlineStr">
        <is>
          <t>Leiria</t>
        </is>
      </c>
      <c r="B60" t="inlineStr">
        <is>
          <t>Caldas da Rainha</t>
        </is>
      </c>
      <c r="C60" t="inlineStr">
        <is>
          <t>União das freguesias de Tornada e Salir do Porto (Caldas da Rainha)</t>
        </is>
      </c>
      <c r="D60" t="inlineStr">
        <is>
          <t>Unidade Local de Saúde do Oeste</t>
        </is>
      </c>
      <c r="E60" t="inlineStr">
        <is>
          <t>Hospital Distrital Caldas da Rainha</t>
        </is>
      </c>
      <c r="F60" t="n">
        <v>4434</v>
      </c>
      <c r="G60" t="n">
        <v>11.5</v>
      </c>
      <c r="H60" t="n">
        <v>14.4</v>
      </c>
      <c r="I60" t="n">
        <v>11.5</v>
      </c>
      <c r="J60" t="n">
        <v>24.4</v>
      </c>
      <c r="K60" t="n">
        <v>0</v>
      </c>
      <c r="L60" t="n">
        <v>10</v>
      </c>
      <c r="M60" t="n">
        <v>10</v>
      </c>
      <c r="N60" t="inlineStr">
        <is>
          <t>Sim</t>
        </is>
      </c>
      <c r="O60" t="n">
        <v>10</v>
      </c>
      <c r="P60" t="n">
        <v>69.5</v>
      </c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</row>
    <row r="61">
      <c r="A61" t="inlineStr">
        <is>
          <t>Leiria</t>
        </is>
      </c>
      <c r="B61" t="inlineStr">
        <is>
          <t>Figueiró dos Vinhos</t>
        </is>
      </c>
      <c r="C61" t="inlineStr">
        <is>
          <t>Aguda (Figueiró dos Vinhos)</t>
        </is>
      </c>
      <c r="D61" t="inlineStr">
        <is>
          <t>Unidade Local de Saúde de Coimbra</t>
        </is>
      </c>
      <c r="E61" t="inlineStr">
        <is>
          <t>Hospitais da Universidade de Coimbra</t>
        </is>
      </c>
      <c r="F61" t="n">
        <v>909</v>
      </c>
      <c r="G61" t="n">
        <v>44.6</v>
      </c>
      <c r="H61" t="n">
        <v>38.7</v>
      </c>
      <c r="I61" t="n">
        <v>44.6</v>
      </c>
      <c r="J61" t="n">
        <v>48.7</v>
      </c>
      <c r="K61" t="n">
        <v>0</v>
      </c>
      <c r="L61" t="n">
        <v>10</v>
      </c>
      <c r="M61" t="n">
        <v>10</v>
      </c>
      <c r="N61" t="inlineStr">
        <is>
          <t>Sim</t>
        </is>
      </c>
      <c r="O61" t="n">
        <v>10</v>
      </c>
      <c r="P61" t="n">
        <v>25.8</v>
      </c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</row>
    <row r="62">
      <c r="A62" t="inlineStr">
        <is>
          <t>Leiria</t>
        </is>
      </c>
      <c r="B62" t="inlineStr">
        <is>
          <t>Caldas da Rainha</t>
        </is>
      </c>
      <c r="C62" t="inlineStr">
        <is>
          <t>A dos Francos (Caldas da Rainha)</t>
        </is>
      </c>
      <c r="D62" t="inlineStr">
        <is>
          <t>Unidade Local de Saúde do Oeste</t>
        </is>
      </c>
      <c r="E62" t="inlineStr">
        <is>
          <t>Hospital Distrital Caldas da Rainha</t>
        </is>
      </c>
      <c r="F62" t="n">
        <v>1632</v>
      </c>
      <c r="G62" t="n">
        <v>13</v>
      </c>
      <c r="H62" t="n">
        <v>18.7</v>
      </c>
      <c r="I62" t="n">
        <v>13</v>
      </c>
      <c r="J62" t="n">
        <v>28.7</v>
      </c>
      <c r="K62" t="n">
        <v>0</v>
      </c>
      <c r="L62" t="n">
        <v>10</v>
      </c>
      <c r="M62" t="n">
        <v>10</v>
      </c>
      <c r="N62" t="inlineStr">
        <is>
          <t>Sim</t>
        </is>
      </c>
      <c r="O62" t="n">
        <v>10</v>
      </c>
      <c r="P62" t="n">
        <v>53.5</v>
      </c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</row>
    <row r="63">
      <c r="A63" t="inlineStr">
        <is>
          <t>Leiria</t>
        </is>
      </c>
      <c r="B63" t="inlineStr">
        <is>
          <t>Bombarral</t>
        </is>
      </c>
      <c r="C63" t="inlineStr">
        <is>
          <t>Pó (Bombarral)</t>
        </is>
      </c>
      <c r="D63" t="inlineStr">
        <is>
          <t>Unidade Local de Saúde do Oeste</t>
        </is>
      </c>
      <c r="E63" t="inlineStr">
        <is>
          <t>Hospital Distrital Caldas da Rainha</t>
        </is>
      </c>
      <c r="F63" t="n">
        <v>922</v>
      </c>
      <c r="G63" t="n">
        <v>15.7</v>
      </c>
      <c r="H63" t="n">
        <v>18</v>
      </c>
      <c r="I63" t="n">
        <v>15.7</v>
      </c>
      <c r="J63" t="n">
        <v>28</v>
      </c>
      <c r="K63" t="n">
        <v>0</v>
      </c>
      <c r="L63" t="n">
        <v>10</v>
      </c>
      <c r="M63" t="n">
        <v>10</v>
      </c>
      <c r="N63" t="inlineStr">
        <is>
          <t>Sim</t>
        </is>
      </c>
      <c r="O63" t="n">
        <v>10</v>
      </c>
      <c r="P63" t="n">
        <v>55.4</v>
      </c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</row>
    <row r="64">
      <c r="A64" t="inlineStr">
        <is>
          <t>Leiria</t>
        </is>
      </c>
      <c r="B64" t="inlineStr">
        <is>
          <t>Bombarral</t>
        </is>
      </c>
      <c r="C64" t="inlineStr">
        <is>
          <t>Roliça (Bombarral)</t>
        </is>
      </c>
      <c r="D64" t="inlineStr">
        <is>
          <t>Unidade Local de Saúde do Oeste</t>
        </is>
      </c>
      <c r="E64" t="inlineStr">
        <is>
          <t>Hospital Distrital Caldas da Rainha</t>
        </is>
      </c>
      <c r="F64" t="n">
        <v>2545</v>
      </c>
      <c r="G64" t="n">
        <v>12.4</v>
      </c>
      <c r="H64" t="n">
        <v>13.9</v>
      </c>
      <c r="I64" t="n">
        <v>12.4</v>
      </c>
      <c r="J64" t="n">
        <v>23.9</v>
      </c>
      <c r="K64" t="n">
        <v>0</v>
      </c>
      <c r="L64" t="n">
        <v>10</v>
      </c>
      <c r="M64" t="n">
        <v>10</v>
      </c>
      <c r="N64" t="inlineStr">
        <is>
          <t>Sim</t>
        </is>
      </c>
      <c r="O64" t="n">
        <v>10</v>
      </c>
      <c r="P64" t="n">
        <v>72.2</v>
      </c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</row>
    <row r="65">
      <c r="A65" t="inlineStr">
        <is>
          <t>Leiria</t>
        </is>
      </c>
      <c r="B65" t="inlineStr">
        <is>
          <t>Alvaiázere</t>
        </is>
      </c>
      <c r="C65" t="inlineStr">
        <is>
          <t>Alvaiázere (Alvaiázere)</t>
        </is>
      </c>
      <c r="D65" t="inlineStr">
        <is>
          <t>Unidade Local de Saúde de Coimbra</t>
        </is>
      </c>
      <c r="E65" t="inlineStr">
        <is>
          <t>Hospitais da Universidade de Coimbra</t>
        </is>
      </c>
      <c r="F65" t="n">
        <v>1809</v>
      </c>
      <c r="G65" t="n">
        <v>55.9</v>
      </c>
      <c r="H65" t="n">
        <v>48.1</v>
      </c>
      <c r="I65" t="n">
        <v>55.9</v>
      </c>
      <c r="J65" t="n">
        <v>58.1</v>
      </c>
      <c r="K65" t="n">
        <v>0</v>
      </c>
      <c r="L65" t="n">
        <v>10</v>
      </c>
      <c r="M65" t="n">
        <v>10</v>
      </c>
      <c r="N65" t="inlineStr">
        <is>
          <t>Sim</t>
        </is>
      </c>
      <c r="O65" t="n">
        <v>10</v>
      </c>
      <c r="P65" t="n">
        <v>20.8</v>
      </c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</row>
    <row r="66">
      <c r="A66" t="inlineStr">
        <is>
          <t>Leiria</t>
        </is>
      </c>
      <c r="B66" t="inlineStr">
        <is>
          <t>Bombarral</t>
        </is>
      </c>
      <c r="C66" t="inlineStr">
        <is>
          <t>Carvalhal (Bombarral)</t>
        </is>
      </c>
      <c r="D66" t="inlineStr">
        <is>
          <t>Unidade Local de Saúde do Oeste</t>
        </is>
      </c>
      <c r="E66" t="inlineStr">
        <is>
          <t>Hospital Distrital Caldas da Rainha</t>
        </is>
      </c>
      <c r="F66" t="n">
        <v>2393</v>
      </c>
      <c r="G66" t="n">
        <v>19.6</v>
      </c>
      <c r="H66" t="n">
        <v>18.6</v>
      </c>
      <c r="I66" t="n">
        <v>19.6</v>
      </c>
      <c r="J66" t="n">
        <v>28.6</v>
      </c>
      <c r="K66" t="n">
        <v>0</v>
      </c>
      <c r="L66" t="n">
        <v>10</v>
      </c>
      <c r="M66" t="n">
        <v>10</v>
      </c>
      <c r="N66" t="inlineStr">
        <is>
          <t>Sim</t>
        </is>
      </c>
      <c r="O66" t="n">
        <v>10</v>
      </c>
      <c r="P66" t="n">
        <v>53.8</v>
      </c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</row>
    <row r="67">
      <c r="A67" t="inlineStr">
        <is>
          <t>Leiria</t>
        </is>
      </c>
      <c r="B67" t="inlineStr">
        <is>
          <t>Alvaiázere</t>
        </is>
      </c>
      <c r="C67" t="inlineStr">
        <is>
          <t>Maçãs de Dona Maria (Alvaiázere)</t>
        </is>
      </c>
      <c r="D67" t="inlineStr">
        <is>
          <t>Unidade Local de Saúde de Coimbra</t>
        </is>
      </c>
      <c r="E67" t="inlineStr">
        <is>
          <t>Hospitais da Universidade de Coimbra</t>
        </is>
      </c>
      <c r="F67" t="n">
        <v>1495</v>
      </c>
      <c r="G67" t="n">
        <v>49.7</v>
      </c>
      <c r="H67" t="n">
        <v>42.3</v>
      </c>
      <c r="I67" t="n">
        <v>49.7</v>
      </c>
      <c r="J67" t="n">
        <v>52.3</v>
      </c>
      <c r="K67" t="n">
        <v>0</v>
      </c>
      <c r="L67" t="n">
        <v>10</v>
      </c>
      <c r="M67" t="n">
        <v>10</v>
      </c>
      <c r="N67" t="inlineStr">
        <is>
          <t>Sim</t>
        </is>
      </c>
      <c r="O67" t="n">
        <v>10</v>
      </c>
      <c r="P67" t="n">
        <v>23.7</v>
      </c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</row>
    <row r="68">
      <c r="A68" s="11" t="inlineStr">
        <is>
          <t>Leiria</t>
        </is>
      </c>
      <c r="B68" s="11" t="inlineStr">
        <is>
          <t>Alvaiázere</t>
        </is>
      </c>
      <c r="C68" s="11" t="inlineStr">
        <is>
          <t>Pelmá (Alvaiázere)</t>
        </is>
      </c>
      <c r="D68" s="11" t="inlineStr">
        <is>
          <t>Unidade Local de Saúde de Coimbra</t>
        </is>
      </c>
      <c r="E68" s="11" t="inlineStr">
        <is>
          <t>Hospitais da Universidade de Coimbra</t>
        </is>
      </c>
      <c r="F68" s="11" t="n">
        <v>637</v>
      </c>
      <c r="G68" s="11" t="n">
        <v>64.7</v>
      </c>
      <c r="H68" s="11" t="n">
        <v>55.2</v>
      </c>
      <c r="I68" s="11" t="n">
        <v>64.7</v>
      </c>
      <c r="J68" s="11" t="n">
        <v>65.2</v>
      </c>
      <c r="K68" s="11" t="n">
        <v>0</v>
      </c>
      <c r="L68" s="11" t="n">
        <v>10</v>
      </c>
      <c r="M68" s="11" t="n">
        <v>10</v>
      </c>
      <c r="N68" s="11" t="inlineStr">
        <is>
          <t>Sim</t>
        </is>
      </c>
      <c r="O68" s="11" t="n">
        <v>10</v>
      </c>
      <c r="P68" s="11" t="n">
        <v>18.1</v>
      </c>
      <c r="Q68" s="11" t="inlineStr">
        <is>
          <t>Não</t>
        </is>
      </c>
      <c r="R68" s="11" t="inlineStr">
        <is>
          <t>Sim</t>
        </is>
      </c>
      <c r="S68" s="11" t="inlineStr">
        <is>
          <t>Sim</t>
        </is>
      </c>
    </row>
    <row r="69">
      <c r="A69" t="inlineStr">
        <is>
          <t>Leiria</t>
        </is>
      </c>
      <c r="B69" t="inlineStr">
        <is>
          <t>Alcobaça</t>
        </is>
      </c>
      <c r="C69" t="inlineStr">
        <is>
          <t>Benedita (Alcobaça)</t>
        </is>
      </c>
      <c r="D69" t="inlineStr">
        <is>
          <t>Unidade Local de Saúde do Oeste</t>
        </is>
      </c>
      <c r="E69" t="inlineStr">
        <is>
          <t>Hospital Distrital Caldas da Rainha</t>
        </is>
      </c>
      <c r="F69" t="n">
        <v>8480</v>
      </c>
      <c r="G69" t="n">
        <v>15.7</v>
      </c>
      <c r="H69" t="n">
        <v>21.4</v>
      </c>
      <c r="I69" t="n">
        <v>15.7</v>
      </c>
      <c r="J69" t="n">
        <v>31.4</v>
      </c>
      <c r="K69" t="n">
        <v>0</v>
      </c>
      <c r="L69" t="n">
        <v>10</v>
      </c>
      <c r="M69" t="n">
        <v>10</v>
      </c>
      <c r="N69" t="inlineStr">
        <is>
          <t>Sim</t>
        </is>
      </c>
      <c r="O69" t="n">
        <v>10</v>
      </c>
      <c r="P69" t="n">
        <v>46.7</v>
      </c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</row>
    <row r="70">
      <c r="A70" t="inlineStr">
        <is>
          <t>Leiria</t>
        </is>
      </c>
      <c r="B70" t="inlineStr">
        <is>
          <t>Alcobaça</t>
        </is>
      </c>
      <c r="C70" t="inlineStr">
        <is>
          <t>Cela (Alcobaça)</t>
        </is>
      </c>
      <c r="D70" t="inlineStr">
        <is>
          <t>Unidade Local de Saúde da Região de Leiria</t>
        </is>
      </c>
      <c r="E70" t="inlineStr">
        <is>
          <t>Hospital de Santo André, em Leiria</t>
        </is>
      </c>
      <c r="F70" t="n">
        <v>3075</v>
      </c>
      <c r="G70" t="n">
        <v>8</v>
      </c>
      <c r="H70" t="n">
        <v>12.1</v>
      </c>
      <c r="I70" t="n">
        <v>8</v>
      </c>
      <c r="J70" t="n">
        <v>22.1</v>
      </c>
      <c r="K70" t="n">
        <v>0</v>
      </c>
      <c r="L70" t="n">
        <v>10</v>
      </c>
      <c r="M70" t="n">
        <v>10</v>
      </c>
      <c r="N70" t="inlineStr">
        <is>
          <t>Sim</t>
        </is>
      </c>
      <c r="O70" t="n">
        <v>10</v>
      </c>
      <c r="P70" t="n">
        <v>82.5</v>
      </c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</row>
    <row r="71">
      <c r="A71" t="inlineStr">
        <is>
          <t>Leiria</t>
        </is>
      </c>
      <c r="B71" t="inlineStr">
        <is>
          <t>Alcobaça</t>
        </is>
      </c>
      <c r="C71" t="inlineStr">
        <is>
          <t>Évora de Alcobaça (Alcobaça)</t>
        </is>
      </c>
      <c r="D71" t="inlineStr">
        <is>
          <t>Unidade Local de Saúde da Região de Leiria</t>
        </is>
      </c>
      <c r="E71" t="inlineStr">
        <is>
          <t>Hospital de Santo André, em Leiria</t>
        </is>
      </c>
      <c r="F71" t="n">
        <v>4141</v>
      </c>
      <c r="G71" t="n">
        <v>4.9</v>
      </c>
      <c r="H71" t="n">
        <v>7.9</v>
      </c>
      <c r="I71" t="n">
        <v>4.9</v>
      </c>
      <c r="J71" t="n">
        <v>17.9</v>
      </c>
      <c r="K71" t="n">
        <v>0</v>
      </c>
      <c r="L71" t="n">
        <v>10</v>
      </c>
      <c r="M71" t="n">
        <v>10</v>
      </c>
      <c r="N71" t="inlineStr">
        <is>
          <t>Sim</t>
        </is>
      </c>
      <c r="O71" t="n">
        <v>10</v>
      </c>
      <c r="P71" t="n">
        <v>127.4</v>
      </c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</row>
    <row r="72">
      <c r="A72" t="inlineStr">
        <is>
          <t>Leiria</t>
        </is>
      </c>
      <c r="B72" t="inlineStr">
        <is>
          <t>Alcobaça</t>
        </is>
      </c>
      <c r="C72" t="inlineStr">
        <is>
          <t>Maiorga (Alcobaça)</t>
        </is>
      </c>
      <c r="D72" t="inlineStr">
        <is>
          <t>Unidade Local de Saúde da Região de Leiria</t>
        </is>
      </c>
      <c r="E72" t="inlineStr">
        <is>
          <t>Hospital de Santo André, em Leiria</t>
        </is>
      </c>
      <c r="F72" t="n">
        <v>1846</v>
      </c>
      <c r="G72" t="n">
        <v>4.8</v>
      </c>
      <c r="H72" t="n">
        <v>6</v>
      </c>
      <c r="I72" t="n">
        <v>4.8</v>
      </c>
      <c r="J72" t="n">
        <v>16</v>
      </c>
      <c r="K72" t="n">
        <v>0</v>
      </c>
      <c r="L72" t="n">
        <v>10</v>
      </c>
      <c r="M72" t="n">
        <v>10</v>
      </c>
      <c r="N72" t="inlineStr">
        <is>
          <t>Sim</t>
        </is>
      </c>
      <c r="O72" t="n">
        <v>10</v>
      </c>
      <c r="P72" t="n">
        <v>165.3</v>
      </c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</row>
    <row r="73">
      <c r="A73" t="inlineStr">
        <is>
          <t>Leiria</t>
        </is>
      </c>
      <c r="B73" t="inlineStr">
        <is>
          <t>Alcobaça</t>
        </is>
      </c>
      <c r="C73" t="inlineStr">
        <is>
          <t>São Martinho do Porto (Alcobaça)</t>
        </is>
      </c>
      <c r="D73" t="inlineStr">
        <is>
          <t>Unidade Local de Saúde do Oeste</t>
        </is>
      </c>
      <c r="E73" t="inlineStr">
        <is>
          <t>Hospital Distrital Caldas da Rainha</t>
        </is>
      </c>
      <c r="F73" t="n">
        <v>3111</v>
      </c>
      <c r="G73" t="n">
        <v>20.8</v>
      </c>
      <c r="H73" t="n">
        <v>21.1</v>
      </c>
      <c r="I73" t="n">
        <v>20.8</v>
      </c>
      <c r="J73" t="n">
        <v>31.1</v>
      </c>
      <c r="K73" t="n">
        <v>0</v>
      </c>
      <c r="L73" t="n">
        <v>10</v>
      </c>
      <c r="M73" t="n">
        <v>10</v>
      </c>
      <c r="N73" t="inlineStr">
        <is>
          <t>Sim</t>
        </is>
      </c>
      <c r="O73" t="n">
        <v>10</v>
      </c>
      <c r="P73" t="n">
        <v>47.4</v>
      </c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</row>
    <row r="74">
      <c r="A74" t="inlineStr">
        <is>
          <t>Leiria</t>
        </is>
      </c>
      <c r="B74" t="inlineStr">
        <is>
          <t>Alcobaça</t>
        </is>
      </c>
      <c r="C74" t="inlineStr">
        <is>
          <t>Turquel (Alcobaça)</t>
        </is>
      </c>
      <c r="D74" t="inlineStr">
        <is>
          <t>Unidade Local de Saúde da Região de Leiria</t>
        </is>
      </c>
      <c r="E74" t="inlineStr">
        <is>
          <t>Hospital de Santo André, em Leiria</t>
        </is>
      </c>
      <c r="F74" t="n">
        <v>4438</v>
      </c>
      <c r="G74" t="n">
        <v>11.5</v>
      </c>
      <c r="H74" t="n">
        <v>14.3</v>
      </c>
      <c r="I74" t="n">
        <v>11.5</v>
      </c>
      <c r="J74" t="n">
        <v>24.3</v>
      </c>
      <c r="K74" t="n">
        <v>0</v>
      </c>
      <c r="L74" t="n">
        <v>10</v>
      </c>
      <c r="M74" t="n">
        <v>10</v>
      </c>
      <c r="N74" t="inlineStr">
        <is>
          <t>Sim</t>
        </is>
      </c>
      <c r="O74" t="n">
        <v>10</v>
      </c>
      <c r="P74" t="n">
        <v>70.09999999999999</v>
      </c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</row>
    <row r="75">
      <c r="A75" t="inlineStr">
        <is>
          <t>Leiria</t>
        </is>
      </c>
      <c r="B75" t="inlineStr">
        <is>
          <t>Alcobaça</t>
        </is>
      </c>
      <c r="C75" t="inlineStr">
        <is>
          <t>Vimeiro (Alcobaça)</t>
        </is>
      </c>
      <c r="D75" t="inlineStr">
        <is>
          <t>Unidade Local de Saúde da Região de Leiria</t>
        </is>
      </c>
      <c r="E75" t="inlineStr">
        <is>
          <t>Hospital de Santo André, em Leiria</t>
        </is>
      </c>
      <c r="F75" t="n">
        <v>1753</v>
      </c>
      <c r="G75" t="n">
        <v>11.4</v>
      </c>
      <c r="H75" t="n">
        <v>16.8</v>
      </c>
      <c r="I75" t="n">
        <v>11.4</v>
      </c>
      <c r="J75" t="n">
        <v>26.8</v>
      </c>
      <c r="K75" t="n">
        <v>0</v>
      </c>
      <c r="L75" t="n">
        <v>10</v>
      </c>
      <c r="M75" t="n">
        <v>10</v>
      </c>
      <c r="N75" t="inlineStr">
        <is>
          <t>Sim</t>
        </is>
      </c>
      <c r="O75" t="n">
        <v>10</v>
      </c>
      <c r="P75" t="n">
        <v>59.6</v>
      </c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</row>
    <row r="76">
      <c r="A76" t="inlineStr">
        <is>
          <t>Leiria</t>
        </is>
      </c>
      <c r="B76" t="inlineStr">
        <is>
          <t>Alcobaça</t>
        </is>
      </c>
      <c r="C76" t="inlineStr">
        <is>
          <t>Aljubarrota (Alcobaça)</t>
        </is>
      </c>
      <c r="D76" t="inlineStr">
        <is>
          <t>Unidade Local de Saúde da Região de Leiria</t>
        </is>
      </c>
      <c r="E76" t="inlineStr">
        <is>
          <t>Hospital de Santo André, em Leiria</t>
        </is>
      </c>
      <c r="F76" t="n">
        <v>6243</v>
      </c>
      <c r="G76" t="n">
        <v>6.5</v>
      </c>
      <c r="H76" t="n">
        <v>9</v>
      </c>
      <c r="I76" t="n">
        <v>6.5</v>
      </c>
      <c r="J76" t="n">
        <v>19</v>
      </c>
      <c r="K76" t="n">
        <v>0</v>
      </c>
      <c r="L76" t="n">
        <v>10</v>
      </c>
      <c r="M76" t="n">
        <v>10</v>
      </c>
      <c r="N76" t="inlineStr">
        <is>
          <t>Sim</t>
        </is>
      </c>
      <c r="O76" t="n">
        <v>10</v>
      </c>
      <c r="P76" t="n">
        <v>110.6</v>
      </c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</row>
    <row r="77">
      <c r="A77" t="inlineStr">
        <is>
          <t>Leiria</t>
        </is>
      </c>
      <c r="B77" t="inlineStr">
        <is>
          <t>Alcobaça</t>
        </is>
      </c>
      <c r="C77" t="inlineStr">
        <is>
          <t>União das freguesias de Alcobaça e Vestiaria (Alcobaça)</t>
        </is>
      </c>
      <c r="D77" t="inlineStr">
        <is>
          <t>Unidade Local de Saúde da Região de Leiria</t>
        </is>
      </c>
      <c r="E77" t="inlineStr">
        <is>
          <t>Hospital de Santo André, em Leiria</t>
        </is>
      </c>
      <c r="F77" t="n">
        <v>7243</v>
      </c>
      <c r="G77" t="n">
        <v>3.6</v>
      </c>
      <c r="H77" t="n">
        <v>6.9</v>
      </c>
      <c r="I77" t="n">
        <v>3.6</v>
      </c>
      <c r="J77" t="n">
        <v>16.9</v>
      </c>
      <c r="K77" t="n">
        <v>0</v>
      </c>
      <c r="L77" t="n">
        <v>10</v>
      </c>
      <c r="M77" t="n">
        <v>10</v>
      </c>
      <c r="N77" t="inlineStr">
        <is>
          <t>Sim</t>
        </is>
      </c>
      <c r="O77" t="n">
        <v>10</v>
      </c>
      <c r="P77" t="n">
        <v>145.7</v>
      </c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</row>
    <row r="78">
      <c r="A78" t="inlineStr">
        <is>
          <t>Leiria</t>
        </is>
      </c>
      <c r="B78" t="inlineStr">
        <is>
          <t>Alcobaça</t>
        </is>
      </c>
      <c r="C78" t="inlineStr">
        <is>
          <t>União das freguesias de Coz, Alpedriz e Montes (Alcobaça)</t>
        </is>
      </c>
      <c r="D78" t="inlineStr">
        <is>
          <t>Unidade Local de Saúde da Região de Leiria</t>
        </is>
      </c>
      <c r="E78" t="inlineStr">
        <is>
          <t>Hospital de Santo André, em Leiria</t>
        </is>
      </c>
      <c r="F78" t="n">
        <v>2826</v>
      </c>
      <c r="G78" t="n">
        <v>8.6</v>
      </c>
      <c r="H78" t="n">
        <v>11.7</v>
      </c>
      <c r="I78" t="n">
        <v>8.6</v>
      </c>
      <c r="J78" t="n">
        <v>21.7</v>
      </c>
      <c r="K78" t="n">
        <v>0</v>
      </c>
      <c r="L78" t="n">
        <v>10</v>
      </c>
      <c r="M78" t="n">
        <v>10</v>
      </c>
      <c r="N78" t="inlineStr">
        <is>
          <t>Sim</t>
        </is>
      </c>
      <c r="O78" t="n">
        <v>10</v>
      </c>
      <c r="P78" t="n">
        <v>85.3</v>
      </c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</row>
    <row r="79">
      <c r="A79" t="inlineStr">
        <is>
          <t>Leiria</t>
        </is>
      </c>
      <c r="B79" t="inlineStr">
        <is>
          <t>Alcobaça</t>
        </is>
      </c>
      <c r="C79" t="inlineStr">
        <is>
          <t>União das freguesias de Pataias e Martingança (Alcobaça)</t>
        </is>
      </c>
      <c r="D79" t="inlineStr">
        <is>
          <t>Unidade Local de Saúde da Região de Leiria</t>
        </is>
      </c>
      <c r="E79" t="inlineStr">
        <is>
          <t>Hospital de Santo André, em Leiria</t>
        </is>
      </c>
      <c r="F79" t="n">
        <v>6729</v>
      </c>
      <c r="G79" t="n">
        <v>19.9</v>
      </c>
      <c r="H79" t="n">
        <v>29</v>
      </c>
      <c r="I79" t="n">
        <v>19.9</v>
      </c>
      <c r="J79" t="n">
        <v>39</v>
      </c>
      <c r="K79" t="n">
        <v>0</v>
      </c>
      <c r="L79" t="n">
        <v>10</v>
      </c>
      <c r="M79" t="n">
        <v>10</v>
      </c>
      <c r="N79" t="inlineStr">
        <is>
          <t>Sim</t>
        </is>
      </c>
      <c r="O79" t="n">
        <v>10</v>
      </c>
      <c r="P79" t="n">
        <v>34.4</v>
      </c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</row>
    <row r="80">
      <c r="A80" s="11" t="inlineStr">
        <is>
          <t>Leiria</t>
        </is>
      </c>
      <c r="B80" s="11" t="inlineStr">
        <is>
          <t>Alvaiázere</t>
        </is>
      </c>
      <c r="C80" s="11" t="inlineStr">
        <is>
          <t>Almoster (Alvaiázere)</t>
        </is>
      </c>
      <c r="D80" s="11" t="inlineStr">
        <is>
          <t>Unidade Local de Saúde de Coimbra</t>
        </is>
      </c>
      <c r="E80" s="11" t="inlineStr">
        <is>
          <t>Hospitais da Universidade de Coimbra</t>
        </is>
      </c>
      <c r="F80" s="11" t="n">
        <v>600</v>
      </c>
      <c r="G80" s="11" t="n">
        <v>59.2</v>
      </c>
      <c r="H80" s="11" t="n">
        <v>50.8</v>
      </c>
      <c r="I80" s="11" t="n">
        <v>59.2</v>
      </c>
      <c r="J80" s="11" t="n">
        <v>60.8</v>
      </c>
      <c r="K80" s="11" t="n">
        <v>0</v>
      </c>
      <c r="L80" s="11" t="n">
        <v>10</v>
      </c>
      <c r="M80" s="11" t="n">
        <v>10</v>
      </c>
      <c r="N80" s="11" t="inlineStr">
        <is>
          <t>Sim</t>
        </is>
      </c>
      <c r="O80" s="11" t="n">
        <v>10</v>
      </c>
      <c r="P80" s="11" t="n">
        <v>19.7</v>
      </c>
      <c r="Q80" s="11" t="inlineStr">
        <is>
          <t>Não</t>
        </is>
      </c>
      <c r="R80" s="11" t="inlineStr">
        <is>
          <t>Sim</t>
        </is>
      </c>
      <c r="S80" s="11" t="inlineStr">
        <is>
          <t>Sim</t>
        </is>
      </c>
    </row>
    <row r="81">
      <c r="A81" t="inlineStr">
        <is>
          <t>Leiria</t>
        </is>
      </c>
      <c r="B81" t="inlineStr">
        <is>
          <t>Alcobaça</t>
        </is>
      </c>
      <c r="C81" t="inlineStr">
        <is>
          <t>Bárrio (Alcobaça)</t>
        </is>
      </c>
      <c r="D81" t="inlineStr">
        <is>
          <t>Unidade Local de Saúde da Região de Leiria</t>
        </is>
      </c>
      <c r="E81" t="inlineStr">
        <is>
          <t>Hospital de Santo André, em Leiria</t>
        </is>
      </c>
      <c r="F81" t="n">
        <v>1411</v>
      </c>
      <c r="G81" t="n">
        <v>7.4</v>
      </c>
      <c r="H81" t="n">
        <v>11.8</v>
      </c>
      <c r="I81" t="n">
        <v>7.4</v>
      </c>
      <c r="J81" t="n">
        <v>21.8</v>
      </c>
      <c r="K81" t="n">
        <v>0</v>
      </c>
      <c r="L81" t="n">
        <v>10</v>
      </c>
      <c r="M81" t="n">
        <v>10</v>
      </c>
      <c r="N81" t="inlineStr">
        <is>
          <t>Sim</t>
        </is>
      </c>
      <c r="O81" t="n">
        <v>10</v>
      </c>
      <c r="P81" t="n">
        <v>85.09999999999999</v>
      </c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</row>
    <row r="82">
      <c r="A82" t="inlineStr">
        <is>
          <t>Leiria</t>
        </is>
      </c>
      <c r="B82" t="inlineStr">
        <is>
          <t>Alcobaça</t>
        </is>
      </c>
      <c r="C82" t="inlineStr">
        <is>
          <t>Alfeizerão (Alcobaça)</t>
        </is>
      </c>
      <c r="D82" t="inlineStr">
        <is>
          <t>Unidade Local de Saúde do Oeste</t>
        </is>
      </c>
      <c r="E82" t="inlineStr">
        <is>
          <t>Hospital Distrital Caldas da Rainha</t>
        </is>
      </c>
      <c r="F82" t="n">
        <v>3669</v>
      </c>
      <c r="G82" t="n">
        <v>13.9</v>
      </c>
      <c r="H82" t="n">
        <v>16</v>
      </c>
      <c r="I82" t="n">
        <v>13.9</v>
      </c>
      <c r="J82" t="n">
        <v>26</v>
      </c>
      <c r="K82" t="n">
        <v>0</v>
      </c>
      <c r="L82" t="n">
        <v>10</v>
      </c>
      <c r="M82" t="n">
        <v>10</v>
      </c>
      <c r="N82" t="inlineStr">
        <is>
          <t>Sim</t>
        </is>
      </c>
      <c r="O82" t="n">
        <v>10</v>
      </c>
      <c r="P82" t="n">
        <v>62.4</v>
      </c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</row>
    <row r="83">
      <c r="A83" t="inlineStr">
        <is>
          <t>Leiria</t>
        </is>
      </c>
      <c r="B83" t="inlineStr">
        <is>
          <t>Caldas da Rainha</t>
        </is>
      </c>
      <c r="C83" t="inlineStr">
        <is>
          <t>União das freguesias de Caldas da Rainha - Santo Onofre e Serra do Bouro (Caldas da Rainha)</t>
        </is>
      </c>
      <c r="D83" t="inlineStr">
        <is>
          <t>Unidade Local de Saúde do Oeste</t>
        </is>
      </c>
      <c r="E83" t="inlineStr">
        <is>
          <t>Hospital Distrital Caldas da Rainha</t>
        </is>
      </c>
      <c r="F83" t="n">
        <v>11902</v>
      </c>
      <c r="G83" t="n">
        <v>8.4</v>
      </c>
      <c r="H83" t="n">
        <v>17.6</v>
      </c>
      <c r="I83" t="n">
        <v>8.4</v>
      </c>
      <c r="J83" t="n">
        <v>27.6</v>
      </c>
      <c r="K83" t="n">
        <v>0</v>
      </c>
      <c r="L83" t="n">
        <v>10</v>
      </c>
      <c r="M83" t="n">
        <v>10</v>
      </c>
      <c r="N83" t="inlineStr">
        <is>
          <t>Sim</t>
        </is>
      </c>
      <c r="O83" t="n">
        <v>10</v>
      </c>
      <c r="P83" t="n">
        <v>56.8</v>
      </c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</row>
    <row r="84">
      <c r="A84" t="inlineStr">
        <is>
          <t>Leiria</t>
        </is>
      </c>
      <c r="B84" t="inlineStr">
        <is>
          <t>Caldas da Rainha</t>
        </is>
      </c>
      <c r="C84" t="inlineStr">
        <is>
          <t>União das freguesias de Caldas da Rainha - Nossa Senhora do Pópulo, Coto e São Gregório (Caldas da Rainha)</t>
        </is>
      </c>
      <c r="D84" t="inlineStr">
        <is>
          <t>Unidade Local de Saúde do Oeste</t>
        </is>
      </c>
      <c r="E84" t="inlineStr">
        <is>
          <t>Hospital Distrital Caldas da Rainha</t>
        </is>
      </c>
      <c r="F84" t="n">
        <v>18540</v>
      </c>
      <c r="G84" t="n">
        <v>1</v>
      </c>
      <c r="H84" t="n">
        <v>2.5</v>
      </c>
      <c r="I84" t="n">
        <v>1</v>
      </c>
      <c r="J84" t="n">
        <v>12.5</v>
      </c>
      <c r="K84" t="n">
        <v>0</v>
      </c>
      <c r="L84" t="n">
        <v>10</v>
      </c>
      <c r="M84" t="n">
        <v>10</v>
      </c>
      <c r="N84" t="inlineStr">
        <is>
          <t>Sim</t>
        </is>
      </c>
      <c r="O84" t="n">
        <v>10</v>
      </c>
      <c r="P84" t="n">
        <v>401.6</v>
      </c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</row>
    <row r="85">
      <c r="A85" t="inlineStr">
        <is>
          <t>Leiria</t>
        </is>
      </c>
      <c r="B85" t="inlineStr">
        <is>
          <t>Caldas da Rainha</t>
        </is>
      </c>
      <c r="C85" t="inlineStr">
        <is>
          <t>Santa Catarina (Caldas da Rainha)</t>
        </is>
      </c>
      <c r="D85" t="inlineStr">
        <is>
          <t>Unidade Local de Saúde do Oeste</t>
        </is>
      </c>
      <c r="E85" t="inlineStr">
        <is>
          <t>Hospital Distrital Caldas da Rainha</t>
        </is>
      </c>
      <c r="F85" t="n">
        <v>2692</v>
      </c>
      <c r="G85" t="n">
        <v>14.8</v>
      </c>
      <c r="H85" t="n">
        <v>20.6</v>
      </c>
      <c r="I85" t="n">
        <v>14.8</v>
      </c>
      <c r="J85" t="n">
        <v>30.6</v>
      </c>
      <c r="K85" t="n">
        <v>0</v>
      </c>
      <c r="L85" t="n">
        <v>10</v>
      </c>
      <c r="M85" t="n">
        <v>10</v>
      </c>
      <c r="N85" t="inlineStr">
        <is>
          <t>Sim</t>
        </is>
      </c>
      <c r="O85" t="n">
        <v>10</v>
      </c>
      <c r="P85" t="n">
        <v>48.6</v>
      </c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</row>
    <row r="86">
      <c r="A86" t="inlineStr">
        <is>
          <t>Leiria</t>
        </is>
      </c>
      <c r="B86" t="inlineStr">
        <is>
          <t>Caldas da Rainha</t>
        </is>
      </c>
      <c r="C86" t="inlineStr">
        <is>
          <t>Vidais (Caldas da Rainha)</t>
        </is>
      </c>
      <c r="D86" t="inlineStr">
        <is>
          <t>Unidade Local de Saúde do Oeste</t>
        </is>
      </c>
      <c r="E86" t="inlineStr">
        <is>
          <t>Hospital Distrital Caldas da Rainha</t>
        </is>
      </c>
      <c r="F86" t="n">
        <v>1040</v>
      </c>
      <c r="G86" t="n">
        <v>10.6</v>
      </c>
      <c r="H86" t="n">
        <v>14</v>
      </c>
      <c r="I86" t="n">
        <v>10.6</v>
      </c>
      <c r="J86" t="n">
        <v>24</v>
      </c>
      <c r="K86" t="n">
        <v>0</v>
      </c>
      <c r="L86" t="n">
        <v>10</v>
      </c>
      <c r="M86" t="n">
        <v>10</v>
      </c>
      <c r="N86" t="inlineStr">
        <is>
          <t>Sim</t>
        </is>
      </c>
      <c r="O86" t="n">
        <v>10</v>
      </c>
      <c r="P86" t="n">
        <v>71.5</v>
      </c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</row>
    <row r="87">
      <c r="A87" t="inlineStr">
        <is>
          <t>Leiria</t>
        </is>
      </c>
      <c r="B87" t="inlineStr">
        <is>
          <t>Caldas da Rainha</t>
        </is>
      </c>
      <c r="C87" t="inlineStr">
        <is>
          <t>Salir de Matos (Caldas da Rainha)</t>
        </is>
      </c>
      <c r="D87" t="inlineStr">
        <is>
          <t>Unidade Local de Saúde do Oeste</t>
        </is>
      </c>
      <c r="E87" t="inlineStr">
        <is>
          <t>Hospital Distrital Caldas da Rainha</t>
        </is>
      </c>
      <c r="F87" t="n">
        <v>2583</v>
      </c>
      <c r="G87" t="n">
        <v>5.1</v>
      </c>
      <c r="H87" t="n">
        <v>8.199999999999999</v>
      </c>
      <c r="I87" t="n">
        <v>5.1</v>
      </c>
      <c r="J87" t="n">
        <v>18.2</v>
      </c>
      <c r="K87" t="n">
        <v>0</v>
      </c>
      <c r="L87" t="n">
        <v>10</v>
      </c>
      <c r="M87" t="n">
        <v>10</v>
      </c>
      <c r="N87" t="inlineStr">
        <is>
          <t>Sim</t>
        </is>
      </c>
      <c r="O87" t="n">
        <v>10</v>
      </c>
      <c r="P87" t="n">
        <v>121.2</v>
      </c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</row>
    <row r="88">
      <c r="A88" t="inlineStr">
        <is>
          <t>Leiria</t>
        </is>
      </c>
      <c r="B88" t="inlineStr">
        <is>
          <t>Caldas da Rainha</t>
        </is>
      </c>
      <c r="C88" t="inlineStr">
        <is>
          <t>Nadadouro (Caldas da Rainha)</t>
        </is>
      </c>
      <c r="D88" t="inlineStr">
        <is>
          <t>Unidade Local de Saúde do Oeste</t>
        </is>
      </c>
      <c r="E88" t="inlineStr">
        <is>
          <t>Hospital Distrital Caldas da Rainha</t>
        </is>
      </c>
      <c r="F88" t="n">
        <v>1962</v>
      </c>
      <c r="G88" t="n">
        <v>6.5</v>
      </c>
      <c r="H88" t="n">
        <v>10.6</v>
      </c>
      <c r="I88" t="n">
        <v>6.5</v>
      </c>
      <c r="J88" t="n">
        <v>20.6</v>
      </c>
      <c r="K88" t="n">
        <v>0</v>
      </c>
      <c r="L88" t="n">
        <v>10</v>
      </c>
      <c r="M88" t="n">
        <v>10</v>
      </c>
      <c r="N88" t="inlineStr">
        <is>
          <t>Sim</t>
        </is>
      </c>
      <c r="O88" t="n">
        <v>10</v>
      </c>
      <c r="P88" t="n">
        <v>94.2</v>
      </c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</row>
    <row r="89">
      <c r="A89" t="inlineStr">
        <is>
          <t>Leiria</t>
        </is>
      </c>
      <c r="B89" t="inlineStr">
        <is>
          <t>Caldas da Rainha</t>
        </is>
      </c>
      <c r="C89" t="inlineStr">
        <is>
          <t>Alvorninha (Caldas da Rainha)</t>
        </is>
      </c>
      <c r="D89" t="inlineStr">
        <is>
          <t>Unidade Local de Saúde do Oeste</t>
        </is>
      </c>
      <c r="E89" t="inlineStr">
        <is>
          <t>Hospital Distrital Caldas da Rainha</t>
        </is>
      </c>
      <c r="F89" t="n">
        <v>2646</v>
      </c>
      <c r="G89" t="n">
        <v>11</v>
      </c>
      <c r="H89" t="n">
        <v>15.5</v>
      </c>
      <c r="I89" t="n">
        <v>11</v>
      </c>
      <c r="J89" t="n">
        <v>25.5</v>
      </c>
      <c r="K89" t="n">
        <v>0</v>
      </c>
      <c r="L89" t="n">
        <v>10</v>
      </c>
      <c r="M89" t="n">
        <v>10</v>
      </c>
      <c r="N89" t="inlineStr">
        <is>
          <t>Sim</t>
        </is>
      </c>
      <c r="O89" t="n">
        <v>10</v>
      </c>
      <c r="P89" t="n">
        <v>64.40000000000001</v>
      </c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</row>
    <row r="90">
      <c r="A90" t="inlineStr">
        <is>
          <t>Leiria</t>
        </is>
      </c>
      <c r="B90" t="inlineStr">
        <is>
          <t>Caldas da Rainha</t>
        </is>
      </c>
      <c r="C90" t="inlineStr">
        <is>
          <t>Landal (Caldas da Rainha)</t>
        </is>
      </c>
      <c r="D90" t="inlineStr">
        <is>
          <t>Unidade Local de Saúde do Oeste</t>
        </is>
      </c>
      <c r="E90" t="inlineStr">
        <is>
          <t>Hospital Distrital Caldas da Rainha</t>
        </is>
      </c>
      <c r="F90" t="n">
        <v>938</v>
      </c>
      <c r="G90" t="n">
        <v>20.9</v>
      </c>
      <c r="H90" t="n">
        <v>20.3</v>
      </c>
      <c r="I90" t="n">
        <v>20.9</v>
      </c>
      <c r="J90" t="n">
        <v>30.3</v>
      </c>
      <c r="K90" t="n">
        <v>0</v>
      </c>
      <c r="L90" t="n">
        <v>10</v>
      </c>
      <c r="M90" t="n">
        <v>10</v>
      </c>
      <c r="N90" t="inlineStr">
        <is>
          <t>Sim</t>
        </is>
      </c>
      <c r="O90" t="n">
        <v>10</v>
      </c>
      <c r="P90" t="n">
        <v>49.2</v>
      </c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</row>
    <row r="91">
      <c r="A91" t="inlineStr">
        <is>
          <t>Leiria</t>
        </is>
      </c>
      <c r="B91" t="inlineStr">
        <is>
          <t>Caldas da Rainha</t>
        </is>
      </c>
      <c r="C91" t="inlineStr">
        <is>
          <t>Foz do Arelho (Caldas da Rainha)</t>
        </is>
      </c>
      <c r="D91" t="inlineStr">
        <is>
          <t>Unidade Local de Saúde do Oeste</t>
        </is>
      </c>
      <c r="E91" t="inlineStr">
        <is>
          <t>Hospital Distrital Caldas da Rainha</t>
        </is>
      </c>
      <c r="F91" t="n">
        <v>1400</v>
      </c>
      <c r="G91" t="n">
        <v>11.2</v>
      </c>
      <c r="H91" t="n">
        <v>14.5</v>
      </c>
      <c r="I91" t="n">
        <v>11.2</v>
      </c>
      <c r="J91" t="n">
        <v>24.5</v>
      </c>
      <c r="K91" t="n">
        <v>0</v>
      </c>
      <c r="L91" t="n">
        <v>10</v>
      </c>
      <c r="M91" t="n">
        <v>10</v>
      </c>
      <c r="N91" t="inlineStr">
        <is>
          <t>Sim</t>
        </is>
      </c>
      <c r="O91" t="n">
        <v>10</v>
      </c>
      <c r="P91" t="n">
        <v>69.09999999999999</v>
      </c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</row>
    <row r="92">
      <c r="A92" t="inlineStr">
        <is>
          <t>Leiria</t>
        </is>
      </c>
      <c r="B92" t="inlineStr">
        <is>
          <t>Caldas da Rainha</t>
        </is>
      </c>
      <c r="C92" t="inlineStr">
        <is>
          <t>Carvalhal Benfeito (Caldas da Rainha)</t>
        </is>
      </c>
      <c r="D92" t="inlineStr">
        <is>
          <t>Unidade Local de Saúde do Oeste</t>
        </is>
      </c>
      <c r="E92" t="inlineStr">
        <is>
          <t>Hospital Distrital Caldas da Rainha</t>
        </is>
      </c>
      <c r="F92" t="n">
        <v>1141</v>
      </c>
      <c r="G92" t="n">
        <v>10.3</v>
      </c>
      <c r="H92" t="n">
        <v>15.2</v>
      </c>
      <c r="I92" t="n">
        <v>10.3</v>
      </c>
      <c r="J92" t="n">
        <v>25.2</v>
      </c>
      <c r="K92" t="n">
        <v>0</v>
      </c>
      <c r="L92" t="n">
        <v>10</v>
      </c>
      <c r="M92" t="n">
        <v>10</v>
      </c>
      <c r="N92" t="inlineStr">
        <is>
          <t>Sim</t>
        </is>
      </c>
      <c r="O92" t="n">
        <v>10</v>
      </c>
      <c r="P92" t="n">
        <v>65.90000000000001</v>
      </c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</row>
    <row r="93">
      <c r="A93" t="inlineStr">
        <is>
          <t>Leiria</t>
        </is>
      </c>
      <c r="B93" t="inlineStr">
        <is>
          <t>Bombarral</t>
        </is>
      </c>
      <c r="C93" t="inlineStr">
        <is>
          <t>União das freguesias do Bombarral e Vale Covo (Bombarral)</t>
        </is>
      </c>
      <c r="D93" t="inlineStr">
        <is>
          <t>Unidade Local de Saúde do Oeste</t>
        </is>
      </c>
      <c r="E93" t="inlineStr">
        <is>
          <t>Hospital Distrital Caldas da Rainha</t>
        </is>
      </c>
      <c r="F93" t="n">
        <v>6886</v>
      </c>
      <c r="G93" t="n">
        <v>22</v>
      </c>
      <c r="H93" t="n">
        <v>19.9</v>
      </c>
      <c r="I93" t="n">
        <v>22</v>
      </c>
      <c r="J93" t="n">
        <v>29.9</v>
      </c>
      <c r="K93" t="n">
        <v>0</v>
      </c>
      <c r="L93" t="n">
        <v>10</v>
      </c>
      <c r="M93" t="n">
        <v>10</v>
      </c>
      <c r="N93" t="inlineStr">
        <is>
          <t>Sim</t>
        </is>
      </c>
      <c r="O93" t="n">
        <v>10</v>
      </c>
      <c r="P93" t="n">
        <v>50.2</v>
      </c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</row>
    <row r="94">
      <c r="A94" t="inlineStr">
        <is>
          <t>Leiria</t>
        </is>
      </c>
      <c r="B94" t="inlineStr">
        <is>
          <t>Figueiró dos Vinhos</t>
        </is>
      </c>
      <c r="C94" t="inlineStr">
        <is>
          <t>União das freguesias de Figueiró dos Vinhos e Bairradas (Figueiró dos Vinhos)</t>
        </is>
      </c>
      <c r="D94" t="inlineStr">
        <is>
          <t>Unidade Local de Saúde de Coimbra</t>
        </is>
      </c>
      <c r="E94" t="inlineStr">
        <is>
          <t>Hospitais da Universidade de Coimbra</t>
        </is>
      </c>
      <c r="F94" t="n">
        <v>3460</v>
      </c>
      <c r="G94" t="n">
        <v>51.2</v>
      </c>
      <c r="H94" t="n">
        <v>45.7</v>
      </c>
      <c r="I94" t="n">
        <v>51.2</v>
      </c>
      <c r="J94" t="n">
        <v>55.7</v>
      </c>
      <c r="K94" t="n">
        <v>0</v>
      </c>
      <c r="L94" t="n">
        <v>10</v>
      </c>
      <c r="M94" t="n">
        <v>10</v>
      </c>
      <c r="N94" t="inlineStr">
        <is>
          <t>Sim</t>
        </is>
      </c>
      <c r="O94" t="n">
        <v>10</v>
      </c>
      <c r="P94" t="n">
        <v>21.9</v>
      </c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</row>
    <row r="95">
      <c r="A95" s="11" t="inlineStr">
        <is>
          <t>Leiria</t>
        </is>
      </c>
      <c r="B95" s="11" t="inlineStr">
        <is>
          <t>Figueiró dos Vinhos</t>
        </is>
      </c>
      <c r="C95" s="11" t="inlineStr">
        <is>
          <t>Campelo (Figueiró dos Vinhos)</t>
        </is>
      </c>
      <c r="D95" s="11" t="inlineStr">
        <is>
          <t>Unidade Local de Saúde de Coimbra</t>
        </is>
      </c>
      <c r="E95" s="11" t="inlineStr">
        <is>
          <t>Hospitais da Universidade de Coimbra</t>
        </is>
      </c>
      <c r="F95" s="11" t="n">
        <v>191</v>
      </c>
      <c r="G95" s="11" t="n">
        <v>61.5</v>
      </c>
      <c r="H95" s="11" t="n">
        <v>56.5</v>
      </c>
      <c r="I95" s="11" t="n">
        <v>61.5</v>
      </c>
      <c r="J95" s="11" t="n">
        <v>66.5</v>
      </c>
      <c r="K95" s="11" t="n">
        <v>0</v>
      </c>
      <c r="L95" s="11" t="n">
        <v>10</v>
      </c>
      <c r="M95" s="11" t="n">
        <v>10</v>
      </c>
      <c r="N95" s="11" t="inlineStr">
        <is>
          <t>Sim</t>
        </is>
      </c>
      <c r="O95" s="11" t="n">
        <v>10</v>
      </c>
      <c r="P95" s="11" t="n">
        <v>17.7</v>
      </c>
      <c r="Q95" s="11" t="inlineStr">
        <is>
          <t>Não</t>
        </is>
      </c>
      <c r="R95" s="11" t="inlineStr">
        <is>
          <t>Sim</t>
        </is>
      </c>
      <c r="S95" s="11" t="inlineStr">
        <is>
          <t>Sim</t>
        </is>
      </c>
    </row>
    <row r="96">
      <c r="A96" t="inlineStr">
        <is>
          <t>Leiria</t>
        </is>
      </c>
      <c r="B96" t="inlineStr">
        <is>
          <t>Nazaré</t>
        </is>
      </c>
      <c r="C96" t="inlineStr">
        <is>
          <t>Famalicão (Nazaré)</t>
        </is>
      </c>
      <c r="D96" t="inlineStr">
        <is>
          <t>Unidade Local de Saúde da Região de Leiria</t>
        </is>
      </c>
      <c r="E96" t="inlineStr">
        <is>
          <t>Hospital de Santo André, em Leiria</t>
        </is>
      </c>
      <c r="F96" t="n">
        <v>1664</v>
      </c>
      <c r="G96" t="n">
        <v>14.3</v>
      </c>
      <c r="H96" t="n">
        <v>20.6</v>
      </c>
      <c r="I96" t="n">
        <v>14.3</v>
      </c>
      <c r="J96" t="n">
        <v>30.6</v>
      </c>
      <c r="K96" t="n">
        <v>0</v>
      </c>
      <c r="L96" t="n">
        <v>10</v>
      </c>
      <c r="M96" t="n">
        <v>10</v>
      </c>
      <c r="N96" t="inlineStr">
        <is>
          <t>Sim</t>
        </is>
      </c>
      <c r="O96" t="n">
        <v>10</v>
      </c>
      <c r="P96" t="n">
        <v>48.5</v>
      </c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</row>
    <row r="97">
      <c r="A97" t="inlineStr">
        <is>
          <t>Leiria</t>
        </is>
      </c>
      <c r="B97" t="inlineStr">
        <is>
          <t>Óbidos</t>
        </is>
      </c>
      <c r="C97" t="inlineStr">
        <is>
          <t>Gaeiras (Óbidos)</t>
        </is>
      </c>
      <c r="D97" t="inlineStr">
        <is>
          <t>Unidade Local de Saúde do Oeste</t>
        </is>
      </c>
      <c r="E97" t="inlineStr">
        <is>
          <t>Hospital Distrital Caldas da Rainha</t>
        </is>
      </c>
      <c r="F97" t="n">
        <v>2363</v>
      </c>
      <c r="G97" t="n">
        <v>4.9</v>
      </c>
      <c r="H97" t="n">
        <v>7.9</v>
      </c>
      <c r="I97" t="n">
        <v>4.9</v>
      </c>
      <c r="J97" t="n">
        <v>17.9</v>
      </c>
      <c r="K97" t="n">
        <v>0</v>
      </c>
      <c r="L97" t="n">
        <v>10</v>
      </c>
      <c r="M97" t="n">
        <v>10</v>
      </c>
      <c r="N97" t="inlineStr">
        <is>
          <t>Sim</t>
        </is>
      </c>
      <c r="O97" t="n">
        <v>10</v>
      </c>
      <c r="P97" t="n">
        <v>126</v>
      </c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</row>
    <row r="98">
      <c r="A98" t="inlineStr">
        <is>
          <t>Leiria</t>
        </is>
      </c>
      <c r="B98" t="inlineStr">
        <is>
          <t>Óbidos</t>
        </is>
      </c>
      <c r="C98" t="inlineStr">
        <is>
          <t>Vau (Óbidos)</t>
        </is>
      </c>
      <c r="D98" t="inlineStr">
        <is>
          <t>Unidade Local de Saúde do Oeste</t>
        </is>
      </c>
      <c r="E98" t="inlineStr">
        <is>
          <t>Hospital Distrital Caldas da Rainha</t>
        </is>
      </c>
      <c r="F98" t="n">
        <v>936</v>
      </c>
      <c r="G98" t="n">
        <v>11.5</v>
      </c>
      <c r="H98" t="n">
        <v>19.3</v>
      </c>
      <c r="I98" t="n">
        <v>11.5</v>
      </c>
      <c r="J98" t="n">
        <v>29.3</v>
      </c>
      <c r="K98" t="n">
        <v>0</v>
      </c>
      <c r="L98" t="n">
        <v>10</v>
      </c>
      <c r="M98" t="n">
        <v>10</v>
      </c>
      <c r="N98" t="inlineStr">
        <is>
          <t>Sim</t>
        </is>
      </c>
      <c r="O98" t="n">
        <v>10</v>
      </c>
      <c r="P98" t="n">
        <v>51.8</v>
      </c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</row>
    <row r="99">
      <c r="A99" t="inlineStr">
        <is>
          <t>Leiria</t>
        </is>
      </c>
      <c r="B99" t="inlineStr">
        <is>
          <t>Óbidos</t>
        </is>
      </c>
      <c r="C99" t="inlineStr">
        <is>
          <t>Olho Marinho (Óbidos)</t>
        </is>
      </c>
      <c r="D99" t="inlineStr">
        <is>
          <t>Unidade Local de Saúde do Oeste</t>
        </is>
      </c>
      <c r="E99" t="inlineStr">
        <is>
          <t>Hospital Distrital Caldas da Rainha</t>
        </is>
      </c>
      <c r="F99" t="n">
        <v>1361</v>
      </c>
      <c r="G99" t="n">
        <v>18.2</v>
      </c>
      <c r="H99" t="n">
        <v>21</v>
      </c>
      <c r="I99" t="n">
        <v>18.2</v>
      </c>
      <c r="J99" t="n">
        <v>31</v>
      </c>
      <c r="K99" t="n">
        <v>0</v>
      </c>
      <c r="L99" t="n">
        <v>10</v>
      </c>
      <c r="M99" t="n">
        <v>10</v>
      </c>
      <c r="N99" t="inlineStr">
        <is>
          <t>Sim</t>
        </is>
      </c>
      <c r="O99" t="n">
        <v>10</v>
      </c>
      <c r="P99" t="n">
        <v>47.5</v>
      </c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</row>
    <row r="100">
      <c r="A100" t="inlineStr">
        <is>
          <t>Leiria</t>
        </is>
      </c>
      <c r="B100" t="inlineStr">
        <is>
          <t>Óbidos</t>
        </is>
      </c>
      <c r="C100" t="inlineStr">
        <is>
          <t>Amoreira (Óbidos)</t>
        </is>
      </c>
      <c r="D100" t="inlineStr">
        <is>
          <t>Unidade Local de Saúde do Oeste</t>
        </is>
      </c>
      <c r="E100" t="inlineStr">
        <is>
          <t>Hospital Distrital Caldas da Rainha</t>
        </is>
      </c>
      <c r="F100" t="n">
        <v>1033</v>
      </c>
      <c r="G100" t="n">
        <v>14.3</v>
      </c>
      <c r="H100" t="n">
        <v>15.5</v>
      </c>
      <c r="I100" t="n">
        <v>14.3</v>
      </c>
      <c r="J100" t="n">
        <v>25.5</v>
      </c>
      <c r="K100" t="n">
        <v>0</v>
      </c>
      <c r="L100" t="n">
        <v>10</v>
      </c>
      <c r="M100" t="n">
        <v>10</v>
      </c>
      <c r="N100" t="inlineStr">
        <is>
          <t>Sim</t>
        </is>
      </c>
      <c r="O100" t="n">
        <v>10</v>
      </c>
      <c r="P100" t="n">
        <v>64.40000000000001</v>
      </c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</row>
    <row r="101">
      <c r="A101" t="inlineStr">
        <is>
          <t>Leiria</t>
        </is>
      </c>
      <c r="B101" t="inlineStr">
        <is>
          <t>Óbidos</t>
        </is>
      </c>
      <c r="C101" t="inlineStr">
        <is>
          <t>A dos Negros (Óbidos)</t>
        </is>
      </c>
      <c r="D101" t="inlineStr">
        <is>
          <t>Unidade Local de Saúde do Oeste</t>
        </is>
      </c>
      <c r="E101" t="inlineStr">
        <is>
          <t>Hospital Distrital Caldas da Rainha</t>
        </is>
      </c>
      <c r="F101" t="n">
        <v>1456</v>
      </c>
      <c r="G101" t="n">
        <v>7.5</v>
      </c>
      <c r="H101" t="n">
        <v>11.8</v>
      </c>
      <c r="I101" t="n">
        <v>7.5</v>
      </c>
      <c r="J101" t="n">
        <v>21.8</v>
      </c>
      <c r="K101" t="n">
        <v>0</v>
      </c>
      <c r="L101" t="n">
        <v>10</v>
      </c>
      <c r="M101" t="n">
        <v>10</v>
      </c>
      <c r="N101" t="inlineStr">
        <is>
          <t>Sim</t>
        </is>
      </c>
      <c r="O101" t="n">
        <v>10</v>
      </c>
      <c r="P101" t="n">
        <v>84.5</v>
      </c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</row>
    <row r="102">
      <c r="A102" t="inlineStr">
        <is>
          <t>Leiria</t>
        </is>
      </c>
      <c r="B102" t="inlineStr">
        <is>
          <t>Nazaré</t>
        </is>
      </c>
      <c r="C102" t="inlineStr">
        <is>
          <t>Valado dos Frades (Nazaré)</t>
        </is>
      </c>
      <c r="D102" t="inlineStr">
        <is>
          <t>Unidade Local de Saúde da Região de Leiria</t>
        </is>
      </c>
      <c r="E102" t="inlineStr">
        <is>
          <t>Hospital de Santo André, em Leiria</t>
        </is>
      </c>
      <c r="F102" t="n">
        <v>2823</v>
      </c>
      <c r="G102" t="n">
        <v>7.6</v>
      </c>
      <c r="H102" t="n">
        <v>10.9</v>
      </c>
      <c r="I102" t="n">
        <v>7.6</v>
      </c>
      <c r="J102" t="n">
        <v>20.9</v>
      </c>
      <c r="K102" t="n">
        <v>0</v>
      </c>
      <c r="L102" t="n">
        <v>10</v>
      </c>
      <c r="M102" t="n">
        <v>10</v>
      </c>
      <c r="N102" t="inlineStr">
        <is>
          <t>Sim</t>
        </is>
      </c>
      <c r="O102" t="n">
        <v>10</v>
      </c>
      <c r="P102" t="n">
        <v>92.09999999999999</v>
      </c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</row>
    <row r="103">
      <c r="A103" t="inlineStr">
        <is>
          <t>Leiria</t>
        </is>
      </c>
      <c r="B103" t="inlineStr">
        <is>
          <t>Nazaré</t>
        </is>
      </c>
      <c r="C103" t="inlineStr">
        <is>
          <t>Nazaré (Nazaré)</t>
        </is>
      </c>
      <c r="D103" t="inlineStr">
        <is>
          <t>Unidade Local de Saúde da Região de Leiria</t>
        </is>
      </c>
      <c r="E103" t="inlineStr">
        <is>
          <t>Hospital de Santo André, em Leiria</t>
        </is>
      </c>
      <c r="F103" t="n">
        <v>10394</v>
      </c>
      <c r="G103" t="n">
        <v>14</v>
      </c>
      <c r="H103" t="n">
        <v>14.6</v>
      </c>
      <c r="I103" t="n">
        <v>14</v>
      </c>
      <c r="J103" t="n">
        <v>24.6</v>
      </c>
      <c r="K103" t="n">
        <v>0</v>
      </c>
      <c r="L103" t="n">
        <v>10</v>
      </c>
      <c r="M103" t="n">
        <v>10</v>
      </c>
      <c r="N103" t="inlineStr">
        <is>
          <t>Sim</t>
        </is>
      </c>
      <c r="O103" t="n">
        <v>10</v>
      </c>
      <c r="P103" t="n">
        <v>68.40000000000001</v>
      </c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</row>
    <row r="104">
      <c r="A104" t="inlineStr">
        <is>
          <t>Leiria</t>
        </is>
      </c>
      <c r="B104" t="inlineStr">
        <is>
          <t>Peniche</t>
        </is>
      </c>
      <c r="C104" t="inlineStr">
        <is>
          <t>Peniche (Peniche)</t>
        </is>
      </c>
      <c r="D104" t="inlineStr">
        <is>
          <t>Unidade Local de Saúde do Oeste</t>
        </is>
      </c>
      <c r="E104" t="inlineStr">
        <is>
          <t>Hospital Distrital Caldas da Rainha</t>
        </is>
      </c>
      <c r="F104" t="n">
        <v>13211</v>
      </c>
      <c r="G104" t="n">
        <v>31</v>
      </c>
      <c r="H104" t="n">
        <v>30</v>
      </c>
      <c r="I104" t="n">
        <v>31</v>
      </c>
      <c r="J104" t="n">
        <v>40</v>
      </c>
      <c r="K104" t="n">
        <v>0</v>
      </c>
      <c r="L104" t="n">
        <v>10</v>
      </c>
      <c r="M104" t="n">
        <v>10</v>
      </c>
      <c r="N104" t="inlineStr">
        <is>
          <t>Sim</t>
        </is>
      </c>
      <c r="O104" t="n">
        <v>10</v>
      </c>
      <c r="P104" t="n">
        <v>33.3</v>
      </c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</row>
    <row r="105">
      <c r="A105" t="inlineStr">
        <is>
          <t>Leiria</t>
        </is>
      </c>
      <c r="B105" t="inlineStr">
        <is>
          <t>Óbidos</t>
        </is>
      </c>
      <c r="C105" t="inlineStr">
        <is>
          <t>Usseira (Óbidos)</t>
        </is>
      </c>
      <c r="D105" t="inlineStr">
        <is>
          <t>Unidade Local de Saúde do Oeste</t>
        </is>
      </c>
      <c r="E105" t="inlineStr">
        <is>
          <t>Hospital Distrital Caldas da Rainha</t>
        </is>
      </c>
      <c r="F105" t="n">
        <v>954</v>
      </c>
      <c r="G105" t="n">
        <v>13.5</v>
      </c>
      <c r="H105" t="n">
        <v>14.5</v>
      </c>
      <c r="I105" t="n">
        <v>13.5</v>
      </c>
      <c r="J105" t="n">
        <v>24.5</v>
      </c>
      <c r="K105" t="n">
        <v>0</v>
      </c>
      <c r="L105" t="n">
        <v>10</v>
      </c>
      <c r="M105" t="n">
        <v>10</v>
      </c>
      <c r="N105" t="inlineStr">
        <is>
          <t>Sim</t>
        </is>
      </c>
      <c r="O105" t="n">
        <v>10</v>
      </c>
      <c r="P105" t="n">
        <v>69.09999999999999</v>
      </c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</row>
    <row r="106">
      <c r="A106" t="inlineStr">
        <is>
          <t>Leiria</t>
        </is>
      </c>
      <c r="B106" t="inlineStr">
        <is>
          <t>Óbidos</t>
        </is>
      </c>
      <c r="C106" t="inlineStr">
        <is>
          <t>Santa Maria, São Pedro e Sobral da Lagoa (Óbidos)</t>
        </is>
      </c>
      <c r="D106" t="inlineStr">
        <is>
          <t>Unidade Local de Saúde do Oeste</t>
        </is>
      </c>
      <c r="E106" t="inlineStr">
        <is>
          <t>Hospital Distrital Caldas da Rainha</t>
        </is>
      </c>
      <c r="F106" t="n">
        <v>3819</v>
      </c>
      <c r="G106" t="n">
        <v>5</v>
      </c>
      <c r="H106" t="n">
        <v>8.4</v>
      </c>
      <c r="I106" t="n">
        <v>5</v>
      </c>
      <c r="J106" t="n">
        <v>18.4</v>
      </c>
      <c r="K106" t="n">
        <v>0</v>
      </c>
      <c r="L106" t="n">
        <v>10</v>
      </c>
      <c r="M106" t="n">
        <v>10</v>
      </c>
      <c r="N106" t="inlineStr">
        <is>
          <t>Sim</t>
        </is>
      </c>
      <c r="O106" t="n">
        <v>10</v>
      </c>
      <c r="P106" t="n">
        <v>119.1</v>
      </c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</row>
    <row r="107">
      <c r="A107" t="inlineStr">
        <is>
          <t>Leiria</t>
        </is>
      </c>
      <c r="B107" t="inlineStr">
        <is>
          <t>Pedrógão Grande</t>
        </is>
      </c>
      <c r="C107" t="inlineStr">
        <is>
          <t>Graça (Pedrógão Grande)</t>
        </is>
      </c>
      <c r="D107" t="inlineStr">
        <is>
          <t>Unidade Local de Saúde de Coimbra</t>
        </is>
      </c>
      <c r="E107" t="inlineStr">
        <is>
          <t>Hospitais da Universidade de Coimbra</t>
        </is>
      </c>
      <c r="F107" t="n">
        <v>598</v>
      </c>
      <c r="G107" t="n">
        <v>54.2</v>
      </c>
      <c r="H107" t="n">
        <v>46.3</v>
      </c>
      <c r="I107" t="n">
        <v>54.2</v>
      </c>
      <c r="J107" t="n">
        <v>56.3</v>
      </c>
      <c r="K107" t="n">
        <v>0</v>
      </c>
      <c r="L107" t="n">
        <v>10</v>
      </c>
      <c r="M107" t="n">
        <v>10</v>
      </c>
      <c r="N107" t="inlineStr">
        <is>
          <t>Sim</t>
        </is>
      </c>
      <c r="O107" t="n">
        <v>10</v>
      </c>
      <c r="P107" t="n">
        <v>21.6</v>
      </c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</row>
    <row r="108">
      <c r="A108" s="11" t="inlineStr">
        <is>
          <t>Leiria</t>
        </is>
      </c>
      <c r="B108" s="11" t="inlineStr">
        <is>
          <t>Pedrógão Grande</t>
        </is>
      </c>
      <c r="C108" s="11" t="inlineStr">
        <is>
          <t>Pedrógão Grande (Pedrógão Grande)</t>
        </is>
      </c>
      <c r="D108" s="11" t="inlineStr">
        <is>
          <t>Unidade Local de Saúde de Coimbra</t>
        </is>
      </c>
      <c r="E108" s="11" t="inlineStr">
        <is>
          <t>Hospitais da Universidade de Coimbra</t>
        </is>
      </c>
      <c r="F108" s="11" t="n">
        <v>2256</v>
      </c>
      <c r="G108" s="11" t="n">
        <v>61.7</v>
      </c>
      <c r="H108" s="11" t="n">
        <v>54.6</v>
      </c>
      <c r="I108" s="11" t="n">
        <v>61.7</v>
      </c>
      <c r="J108" s="11" t="n">
        <v>64.59999999999999</v>
      </c>
      <c r="K108" s="11" t="n">
        <v>0</v>
      </c>
      <c r="L108" s="11" t="n">
        <v>10</v>
      </c>
      <c r="M108" s="11" t="n">
        <v>10</v>
      </c>
      <c r="N108" s="11" t="inlineStr">
        <is>
          <t>Sim</t>
        </is>
      </c>
      <c r="O108" s="11" t="n">
        <v>10</v>
      </c>
      <c r="P108" s="11" t="n">
        <v>18.3</v>
      </c>
      <c r="Q108" s="11" t="inlineStr">
        <is>
          <t>Não</t>
        </is>
      </c>
      <c r="R108" s="11" t="inlineStr">
        <is>
          <t>Sim</t>
        </is>
      </c>
      <c r="S108" s="11" t="inlineStr">
        <is>
          <t>Sim</t>
        </is>
      </c>
    </row>
    <row r="109">
      <c r="A109" t="inlineStr">
        <is>
          <t>Leiria</t>
        </is>
      </c>
      <c r="B109" t="inlineStr">
        <is>
          <t>Pedrógão Grande</t>
        </is>
      </c>
      <c r="C109" t="inlineStr">
        <is>
          <t>Vila Facaia (Pedrógão Grande)</t>
        </is>
      </c>
      <c r="D109" t="inlineStr">
        <is>
          <t>Unidade Local de Saúde de Coimbra</t>
        </is>
      </c>
      <c r="E109" t="inlineStr">
        <is>
          <t>Hospitais da Universidade de Coimbra</t>
        </is>
      </c>
      <c r="F109" t="n">
        <v>536</v>
      </c>
      <c r="G109" t="n">
        <v>51.5</v>
      </c>
      <c r="H109" t="n">
        <v>43.9</v>
      </c>
      <c r="I109" t="n">
        <v>51.5</v>
      </c>
      <c r="J109" t="n">
        <v>53.9</v>
      </c>
      <c r="K109" t="n">
        <v>0</v>
      </c>
      <c r="L109" t="n">
        <v>10</v>
      </c>
      <c r="M109" t="n">
        <v>10</v>
      </c>
      <c r="N109" t="inlineStr">
        <is>
          <t>Sim</t>
        </is>
      </c>
      <c r="O109" t="n">
        <v>10</v>
      </c>
      <c r="P109" t="n">
        <v>22.8</v>
      </c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</row>
    <row r="110">
      <c r="A110" t="inlineStr">
        <is>
          <t>Leiria</t>
        </is>
      </c>
      <c r="B110" t="inlineStr">
        <is>
          <t>Peniche</t>
        </is>
      </c>
      <c r="C110" t="inlineStr">
        <is>
          <t>Atouguia da Baleia (Peniche)</t>
        </is>
      </c>
      <c r="D110" t="inlineStr">
        <is>
          <t>Unidade Local de Saúde do Oeste</t>
        </is>
      </c>
      <c r="E110" t="inlineStr">
        <is>
          <t>Hospital Distrital Caldas da Rainha</t>
        </is>
      </c>
      <c r="F110" t="n">
        <v>9117</v>
      </c>
      <c r="G110" t="n">
        <v>26.2</v>
      </c>
      <c r="H110" t="n">
        <v>25.6</v>
      </c>
      <c r="I110" t="n">
        <v>26.2</v>
      </c>
      <c r="J110" t="n">
        <v>35.6</v>
      </c>
      <c r="K110" t="n">
        <v>0</v>
      </c>
      <c r="L110" t="n">
        <v>10</v>
      </c>
      <c r="M110" t="n">
        <v>10</v>
      </c>
      <c r="N110" t="inlineStr">
        <is>
          <t>Sim</t>
        </is>
      </c>
      <c r="O110" t="n">
        <v>10</v>
      </c>
      <c r="P110" t="n">
        <v>39.1</v>
      </c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</row>
    <row r="111">
      <c r="A111" t="inlineStr">
        <is>
          <t>Leiria</t>
        </is>
      </c>
      <c r="B111" t="inlineStr">
        <is>
          <t>Peniche</t>
        </is>
      </c>
      <c r="C111" t="inlineStr">
        <is>
          <t>Serra d'El-Rei (Peniche)</t>
        </is>
      </c>
      <c r="D111" t="inlineStr">
        <is>
          <t>Unidade Local de Saúde do Oeste</t>
        </is>
      </c>
      <c r="E111" t="inlineStr">
        <is>
          <t>Hospital Distrital Caldas da Rainha</t>
        </is>
      </c>
      <c r="F111" t="n">
        <v>1342</v>
      </c>
      <c r="G111" t="n">
        <v>18.5</v>
      </c>
      <c r="H111" t="n">
        <v>18.2</v>
      </c>
      <c r="I111" t="n">
        <v>18.5</v>
      </c>
      <c r="J111" t="n">
        <v>28.2</v>
      </c>
      <c r="K111" t="n">
        <v>0</v>
      </c>
      <c r="L111" t="n">
        <v>10</v>
      </c>
      <c r="M111" t="n">
        <v>10</v>
      </c>
      <c r="N111" t="inlineStr">
        <is>
          <t>Sim</t>
        </is>
      </c>
      <c r="O111" t="n">
        <v>10</v>
      </c>
      <c r="P111" t="n">
        <v>54.8</v>
      </c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</row>
    <row r="112">
      <c r="A112" t="inlineStr">
        <is>
          <t>Leiria</t>
        </is>
      </c>
      <c r="B112" t="inlineStr">
        <is>
          <t>Peniche</t>
        </is>
      </c>
      <c r="C112" t="inlineStr">
        <is>
          <t>Ferrel (Peniche)</t>
        </is>
      </c>
      <c r="D112" t="inlineStr">
        <is>
          <t>Unidade Local de Saúde do Oeste</t>
        </is>
      </c>
      <c r="E112" t="inlineStr">
        <is>
          <t>Hospital Distrital Caldas da Rainha</t>
        </is>
      </c>
      <c r="F112" t="n">
        <v>2759</v>
      </c>
      <c r="G112" t="n">
        <v>24.3</v>
      </c>
      <c r="H112" t="n">
        <v>26.9</v>
      </c>
      <c r="I112" t="n">
        <v>24.3</v>
      </c>
      <c r="J112" t="n">
        <v>36.9</v>
      </c>
      <c r="K112" t="n">
        <v>0</v>
      </c>
      <c r="L112" t="n">
        <v>10</v>
      </c>
      <c r="M112" t="n">
        <v>10</v>
      </c>
      <c r="N112" t="inlineStr">
        <is>
          <t>Sim</t>
        </is>
      </c>
      <c r="O112" t="n">
        <v>10</v>
      </c>
      <c r="P112" t="n">
        <v>37.1</v>
      </c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21" customWidth="1" min="5" max="5"/>
    <col width="17" customWidth="1" min="6" max="6"/>
    <col width="18" customWidth="1" min="7" max="7"/>
    <col width="20" customWidth="1" min="8" max="8"/>
    <col width="19" customWidth="1" min="9" max="9"/>
  </cols>
  <sheetData>
    <row r="1">
      <c r="A1" s="10" t="inlineStr">
        <is>
          <t>Concelho</t>
        </is>
      </c>
      <c r="B1" s="10" t="inlineStr">
        <is>
          <t>Freguesias</t>
        </is>
      </c>
      <c r="C1" s="10" t="inlineStr">
        <is>
          <t>Populacao</t>
        </is>
      </c>
      <c r="D1" s="10" t="inlineStr">
        <is>
          <t>Tempo_Normal_Medio</t>
        </is>
      </c>
      <c r="E1" s="10" t="inlineStr">
        <is>
          <t>Tempo_Cortado_Medio</t>
        </is>
      </c>
      <c r="F1" s="10" t="inlineStr">
        <is>
          <t>Criticas_Normal</t>
        </is>
      </c>
      <c r="G1" s="10" t="inlineStr">
        <is>
          <t>Criticas_Cortado</t>
        </is>
      </c>
      <c r="H1" s="10" t="inlineStr">
        <is>
          <t>Passaram_a_Critico</t>
        </is>
      </c>
      <c r="I1" s="10" t="inlineStr">
        <is>
          <t>Aumento_Medio_min</t>
        </is>
      </c>
    </row>
    <row r="2">
      <c r="A2" t="inlineStr">
        <is>
          <t>Leiria</t>
        </is>
      </c>
      <c r="B2" t="n">
        <v>18</v>
      </c>
      <c r="C2" t="n">
        <v>128603</v>
      </c>
      <c r="D2" t="n">
        <v>38.1</v>
      </c>
      <c r="E2" t="n">
        <v>78.5</v>
      </c>
      <c r="F2" t="n">
        <v>0</v>
      </c>
      <c r="G2" t="n">
        <v>18</v>
      </c>
      <c r="H2" t="n">
        <v>18</v>
      </c>
      <c r="I2" t="n">
        <v>40.3</v>
      </c>
    </row>
    <row r="3">
      <c r="A3" t="inlineStr">
        <is>
          <t>Castanheira de Pêra</t>
        </is>
      </c>
      <c r="B3" t="n">
        <v>1</v>
      </c>
      <c r="C3" t="n">
        <v>2645</v>
      </c>
      <c r="D3" t="n">
        <v>54.2</v>
      </c>
      <c r="E3" t="n">
        <v>94.2</v>
      </c>
      <c r="F3" t="n">
        <v>0</v>
      </c>
      <c r="G3" t="n">
        <v>1</v>
      </c>
      <c r="H3" t="n">
        <v>1</v>
      </c>
      <c r="I3" t="n">
        <v>40</v>
      </c>
    </row>
    <row r="4">
      <c r="A4" t="inlineStr">
        <is>
          <t>Marinha Grande</t>
        </is>
      </c>
      <c r="B4" t="n">
        <v>3</v>
      </c>
      <c r="C4" t="n">
        <v>39024</v>
      </c>
      <c r="D4" t="n">
        <v>32.3</v>
      </c>
      <c r="E4" t="n">
        <v>72.3</v>
      </c>
      <c r="F4" t="n">
        <v>0</v>
      </c>
      <c r="G4" t="n">
        <v>3</v>
      </c>
      <c r="H4" t="n">
        <v>3</v>
      </c>
      <c r="I4" t="n">
        <v>40</v>
      </c>
    </row>
    <row r="5">
      <c r="A5" t="inlineStr">
        <is>
          <t>Pombal</t>
        </is>
      </c>
      <c r="B5" t="n">
        <v>13</v>
      </c>
      <c r="C5" t="n">
        <v>51170</v>
      </c>
      <c r="D5" t="n">
        <v>54.7</v>
      </c>
      <c r="E5" t="n">
        <v>75.7</v>
      </c>
      <c r="F5" t="n">
        <v>5</v>
      </c>
      <c r="G5" t="n">
        <v>13</v>
      </c>
      <c r="H5" t="n">
        <v>8</v>
      </c>
      <c r="I5" t="n">
        <v>21</v>
      </c>
    </row>
    <row r="6">
      <c r="A6" t="inlineStr">
        <is>
          <t>Porto de Mós</t>
        </is>
      </c>
      <c r="B6" t="n">
        <v>10</v>
      </c>
      <c r="C6" t="n">
        <v>23202</v>
      </c>
      <c r="D6" t="n">
        <v>26.9</v>
      </c>
      <c r="E6" t="n">
        <v>46.9</v>
      </c>
      <c r="F6" t="n">
        <v>0</v>
      </c>
      <c r="G6" t="n">
        <v>0</v>
      </c>
      <c r="H6" t="n">
        <v>0</v>
      </c>
      <c r="I6" t="n">
        <v>20</v>
      </c>
    </row>
    <row r="7">
      <c r="A7" t="inlineStr">
        <is>
          <t>Batalha</t>
        </is>
      </c>
      <c r="B7" t="n">
        <v>4</v>
      </c>
      <c r="C7" t="n">
        <v>15557</v>
      </c>
      <c r="D7" t="n">
        <v>30.3</v>
      </c>
      <c r="E7" t="n">
        <v>50.3</v>
      </c>
      <c r="F7" t="n">
        <v>0</v>
      </c>
      <c r="G7" t="n">
        <v>0</v>
      </c>
      <c r="H7" t="n">
        <v>0</v>
      </c>
      <c r="I7" t="n">
        <v>20</v>
      </c>
    </row>
    <row r="8">
      <c r="A8" t="inlineStr">
        <is>
          <t>Ansião</t>
        </is>
      </c>
      <c r="B8" t="n">
        <v>6</v>
      </c>
      <c r="C8" t="n">
        <v>11642</v>
      </c>
      <c r="D8" t="n">
        <v>40.6</v>
      </c>
      <c r="E8" t="n">
        <v>60.6</v>
      </c>
      <c r="F8" t="n">
        <v>0</v>
      </c>
      <c r="G8" t="n">
        <v>3</v>
      </c>
      <c r="H8" t="n">
        <v>3</v>
      </c>
      <c r="I8" t="n">
        <v>20</v>
      </c>
    </row>
    <row r="9">
      <c r="A9" t="inlineStr">
        <is>
          <t>Alvaiázere</t>
        </is>
      </c>
      <c r="B9" t="n">
        <v>5</v>
      </c>
      <c r="C9" t="n">
        <v>6238</v>
      </c>
      <c r="D9" t="n">
        <v>47.8</v>
      </c>
      <c r="E9" t="n">
        <v>58.6</v>
      </c>
      <c r="F9" t="n">
        <v>0</v>
      </c>
      <c r="G9" t="n">
        <v>2</v>
      </c>
      <c r="H9" t="n">
        <v>2</v>
      </c>
      <c r="I9" t="n">
        <v>10.7</v>
      </c>
    </row>
    <row r="10">
      <c r="A10" t="inlineStr">
        <is>
          <t>Figueiró dos Vinhos</t>
        </is>
      </c>
      <c r="B10" t="n">
        <v>4</v>
      </c>
      <c r="C10" t="n">
        <v>5281</v>
      </c>
      <c r="D10" t="n">
        <v>45.7</v>
      </c>
      <c r="E10" t="n">
        <v>55.7</v>
      </c>
      <c r="F10" t="n">
        <v>0</v>
      </c>
      <c r="G10" t="n">
        <v>1</v>
      </c>
      <c r="H10" t="n">
        <v>1</v>
      </c>
      <c r="I10" t="n">
        <v>10</v>
      </c>
    </row>
    <row r="11">
      <c r="A11" t="inlineStr">
        <is>
          <t>Caldas da Rainha</t>
        </is>
      </c>
      <c r="B11" t="n">
        <v>12</v>
      </c>
      <c r="C11" t="n">
        <v>50910</v>
      </c>
      <c r="D11" t="n">
        <v>14.3</v>
      </c>
      <c r="E11" t="n">
        <v>24.3</v>
      </c>
      <c r="F11" t="n">
        <v>0</v>
      </c>
      <c r="G11" t="n">
        <v>0</v>
      </c>
      <c r="H11" t="n">
        <v>0</v>
      </c>
      <c r="I11" t="n">
        <v>10</v>
      </c>
    </row>
    <row r="12">
      <c r="A12" t="inlineStr">
        <is>
          <t>Bombarral</t>
        </is>
      </c>
      <c r="B12" t="n">
        <v>4</v>
      </c>
      <c r="C12" t="n">
        <v>12746</v>
      </c>
      <c r="D12" t="n">
        <v>17.6</v>
      </c>
      <c r="E12" t="n">
        <v>27.6</v>
      </c>
      <c r="F12" t="n">
        <v>0</v>
      </c>
      <c r="G12" t="n">
        <v>0</v>
      </c>
      <c r="H12" t="n">
        <v>0</v>
      </c>
      <c r="I12" t="n">
        <v>10</v>
      </c>
    </row>
    <row r="13">
      <c r="A13" t="inlineStr">
        <is>
          <t>Alcobaça</t>
        </is>
      </c>
      <c r="B13" t="n">
        <v>13</v>
      </c>
      <c r="C13" t="n">
        <v>54965</v>
      </c>
      <c r="D13" t="n">
        <v>14.2</v>
      </c>
      <c r="E13" t="n">
        <v>24.2</v>
      </c>
      <c r="F13" t="n">
        <v>0</v>
      </c>
      <c r="G13" t="n">
        <v>0</v>
      </c>
      <c r="H13" t="n">
        <v>0</v>
      </c>
      <c r="I13" t="n">
        <v>10</v>
      </c>
    </row>
    <row r="14">
      <c r="A14" t="inlineStr">
        <is>
          <t>Pedrógão Grande</t>
        </is>
      </c>
      <c r="B14" t="n">
        <v>3</v>
      </c>
      <c r="C14" t="n">
        <v>3390</v>
      </c>
      <c r="D14" t="n">
        <v>48.3</v>
      </c>
      <c r="E14" t="n">
        <v>58.3</v>
      </c>
      <c r="F14" t="n">
        <v>0</v>
      </c>
      <c r="G14" t="n">
        <v>1</v>
      </c>
      <c r="H14" t="n">
        <v>1</v>
      </c>
      <c r="I14" t="n">
        <v>10</v>
      </c>
    </row>
    <row r="15">
      <c r="A15" t="inlineStr">
        <is>
          <t>Nazaré</t>
        </is>
      </c>
      <c r="B15" t="n">
        <v>3</v>
      </c>
      <c r="C15" t="n">
        <v>14881</v>
      </c>
      <c r="D15" t="n">
        <v>15.4</v>
      </c>
      <c r="E15" t="n">
        <v>25.4</v>
      </c>
      <c r="F15" t="n">
        <v>0</v>
      </c>
      <c r="G15" t="n">
        <v>0</v>
      </c>
      <c r="H15" t="n">
        <v>0</v>
      </c>
      <c r="I15" t="n">
        <v>10</v>
      </c>
    </row>
    <row r="16">
      <c r="A16" t="inlineStr">
        <is>
          <t>Peniche</t>
        </is>
      </c>
      <c r="B16" t="n">
        <v>4</v>
      </c>
      <c r="C16" t="n">
        <v>26429</v>
      </c>
      <c r="D16" t="n">
        <v>25.2</v>
      </c>
      <c r="E16" t="n">
        <v>35.2</v>
      </c>
      <c r="F16" t="n">
        <v>0</v>
      </c>
      <c r="G16" t="n">
        <v>0</v>
      </c>
      <c r="H16" t="n">
        <v>0</v>
      </c>
      <c r="I16" t="n">
        <v>10</v>
      </c>
    </row>
    <row r="17">
      <c r="A17" t="inlineStr">
        <is>
          <t>Óbidos</t>
        </is>
      </c>
      <c r="B17" t="n">
        <v>7</v>
      </c>
      <c r="C17" t="n">
        <v>11922</v>
      </c>
      <c r="D17" t="n">
        <v>14.1</v>
      </c>
      <c r="E17" t="n">
        <v>24.1</v>
      </c>
      <c r="F17" t="n">
        <v>0</v>
      </c>
      <c r="G17" t="n">
        <v>0</v>
      </c>
      <c r="H17" t="n">
        <v>0</v>
      </c>
      <c r="I1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Freguesia</t>
        </is>
      </c>
      <c r="B1" t="inlineStr">
        <is>
          <t>Diferenca_min</t>
        </is>
      </c>
      <c r="D1" t="inlineStr">
        <is>
          <t>Concelho</t>
        </is>
      </c>
      <c r="E1" t="inlineStr">
        <is>
          <t>Tempo_Normal_Medio</t>
        </is>
      </c>
      <c r="F1" t="inlineStr">
        <is>
          <t>Tempo_Cortado_Medio</t>
        </is>
      </c>
    </row>
    <row r="2">
      <c r="A2" t="inlineStr">
        <is>
          <t>Bajouca (Leiria)</t>
        </is>
      </c>
      <c r="B2" t="n">
        <v>43.7</v>
      </c>
      <c r="D2" t="inlineStr">
        <is>
          <t>Leiria</t>
        </is>
      </c>
      <c r="E2" t="n">
        <v>38.1</v>
      </c>
      <c r="F2" t="n">
        <v>78.5</v>
      </c>
    </row>
    <row r="3">
      <c r="A3" t="inlineStr">
        <is>
          <t>União das freguesias de Monte Redondo e Carreira (Leiria)</t>
        </is>
      </c>
      <c r="B3" t="n">
        <v>42.6</v>
      </c>
      <c r="D3" t="inlineStr">
        <is>
          <t>Castanheira de Pêra</t>
        </is>
      </c>
      <c r="E3" t="n">
        <v>54.2</v>
      </c>
      <c r="F3" t="n">
        <v>94.2</v>
      </c>
    </row>
    <row r="4">
      <c r="A4" t="inlineStr">
        <is>
          <t>Bidoeira de Cima (Leiria)</t>
        </is>
      </c>
      <c r="B4" t="n">
        <v>40</v>
      </c>
      <c r="D4" t="inlineStr">
        <is>
          <t>Marinha Grande</t>
        </is>
      </c>
      <c r="E4" t="n">
        <v>32.3</v>
      </c>
      <c r="F4" t="n">
        <v>72.3</v>
      </c>
    </row>
    <row r="5">
      <c r="A5" t="inlineStr">
        <is>
          <t>União das freguesias de Marrazes e Barosa (Leiria)</t>
        </is>
      </c>
      <c r="B5" t="n">
        <v>40</v>
      </c>
      <c r="D5" t="inlineStr">
        <is>
          <t>Pombal</t>
        </is>
      </c>
      <c r="E5" t="n">
        <v>54.7</v>
      </c>
      <c r="F5" t="n">
        <v>75.7</v>
      </c>
    </row>
    <row r="6">
      <c r="A6" t="inlineStr">
        <is>
          <t>União das freguesias de Castanheira de Pêra e Coentral (Castanheira de Pêra)</t>
        </is>
      </c>
      <c r="B6" t="n">
        <v>40</v>
      </c>
      <c r="D6" t="inlineStr">
        <is>
          <t>Porto de Mós</t>
        </is>
      </c>
      <c r="E6" t="n">
        <v>26.9</v>
      </c>
      <c r="F6" t="n">
        <v>46.9</v>
      </c>
    </row>
    <row r="7">
      <c r="A7" t="inlineStr">
        <is>
          <t>União das freguesias de Monte Real e Carvide (Leiria)</t>
        </is>
      </c>
      <c r="B7" t="n">
        <v>40</v>
      </c>
      <c r="D7" t="inlineStr">
        <is>
          <t>Batalha</t>
        </is>
      </c>
      <c r="E7" t="n">
        <v>30.3</v>
      </c>
      <c r="F7" t="n">
        <v>50.3</v>
      </c>
    </row>
    <row r="8">
      <c r="A8" t="inlineStr">
        <is>
          <t>Coimbrão (Leiria)</t>
        </is>
      </c>
      <c r="B8" t="n">
        <v>40</v>
      </c>
      <c r="D8" t="inlineStr">
        <is>
          <t>Ansião</t>
        </is>
      </c>
      <c r="E8" t="n">
        <v>40.6</v>
      </c>
      <c r="F8" t="n">
        <v>60.6</v>
      </c>
    </row>
    <row r="9">
      <c r="A9" t="inlineStr">
        <is>
          <t>Milagres (Leiria)</t>
        </is>
      </c>
      <c r="B9" t="n">
        <v>40</v>
      </c>
      <c r="D9" t="inlineStr">
        <is>
          <t>Alvaiázere</t>
        </is>
      </c>
      <c r="E9" t="n">
        <v>47.8</v>
      </c>
      <c r="F9" t="n">
        <v>58.6</v>
      </c>
    </row>
    <row r="10">
      <c r="A10" t="inlineStr">
        <is>
          <t>Regueira de Pontes (Leiria)</t>
        </is>
      </c>
      <c r="B10" t="n">
        <v>40</v>
      </c>
      <c r="D10" t="inlineStr">
        <is>
          <t>Figueiró dos Vinhos</t>
        </is>
      </c>
      <c r="E10" t="n">
        <v>45.7</v>
      </c>
      <c r="F10" t="n">
        <v>55.7</v>
      </c>
    </row>
    <row r="11">
      <c r="A11" t="inlineStr">
        <is>
          <t>Maceira (Leiria)</t>
        </is>
      </c>
      <c r="B11" t="n">
        <v>40</v>
      </c>
      <c r="D11" t="inlineStr">
        <is>
          <t>Caldas da Rainha</t>
        </is>
      </c>
      <c r="E11" t="n">
        <v>14.3</v>
      </c>
      <c r="F11" t="n">
        <v>24.3</v>
      </c>
    </row>
    <row r="12">
      <c r="D12" t="inlineStr">
        <is>
          <t>Bombarral</t>
        </is>
      </c>
      <c r="E12" t="n">
        <v>17.6</v>
      </c>
      <c r="F12" t="n">
        <v>27.6</v>
      </c>
    </row>
    <row r="13">
      <c r="D13" t="inlineStr">
        <is>
          <t>Alcobaça</t>
        </is>
      </c>
      <c r="E13" t="n">
        <v>14.2</v>
      </c>
      <c r="F13" t="n">
        <v>24.2</v>
      </c>
    </row>
    <row r="14">
      <c r="D14" t="inlineStr">
        <is>
          <t>Pedrógão Grande</t>
        </is>
      </c>
      <c r="E14" t="n">
        <v>48.3</v>
      </c>
      <c r="F14" t="n">
        <v>58.3</v>
      </c>
    </row>
    <row r="15">
      <c r="D15" t="inlineStr">
        <is>
          <t>Nazaré</t>
        </is>
      </c>
      <c r="E15" t="n">
        <v>15.4</v>
      </c>
      <c r="F15" t="n">
        <v>25.4</v>
      </c>
    </row>
    <row r="16">
      <c r="D16" t="inlineStr">
        <is>
          <t>Peniche</t>
        </is>
      </c>
      <c r="E16" t="n">
        <v>25.2</v>
      </c>
      <c r="F16" t="n">
        <v>35.2</v>
      </c>
    </row>
    <row r="17">
      <c r="D17" t="inlineStr">
        <is>
          <t>Óbidos</t>
        </is>
      </c>
      <c r="E17" t="n">
        <v>14.1</v>
      </c>
      <c r="F17" t="n">
        <v>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2026-07-28T16:55:25Z</dcterms:created>
  <dcterms:modified xsi:type="dcterms:W3CDTF">2026-07-28T16:55:25Z</dcterms:modified>
</cp:coreProperties>
</file>