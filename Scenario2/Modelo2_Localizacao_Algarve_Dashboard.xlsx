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 Dashboard" sheetId="1" state="visible" r:id="rId1"/>
    <sheet name="1. Resumo" sheetId="2" state="visible" r:id="rId2"/>
    <sheet name="2. Ranking_Candidatos" sheetId="3" state="visible" r:id="rId3"/>
    <sheet name="3. Impacto_Melhor_Loc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&quot; min&quot;"/>
    <numFmt numFmtId="165" formatCode="0.0%"/>
    <numFmt numFmtId="166" formatCode="0.0&quot; camas&quot;"/>
    <numFmt numFmtId="167" formatCode="0.0"/>
  </numFmts>
  <fonts count="17">
    <font>
      <name val="Calibri"/>
      <family val="2"/>
      <color theme="1"/>
      <sz val="11"/>
      <scheme val="minor"/>
    </font>
    <font>
      <b val="1"/>
      <color rgb="002E9E6B"/>
      <sz val="14"/>
    </font>
    <font>
      <i val="1"/>
      <color rgb="00666666"/>
      <sz val="9"/>
    </font>
    <font>
      <b val="1"/>
    </font>
    <font>
      <b val="1"/>
      <color rgb="00FFFFFF"/>
    </font>
    <font>
      <color rgb="00666666"/>
      <sz val="10"/>
    </font>
    <font>
      <b val="1"/>
      <color rgb="002E9E6B"/>
      <sz val="10"/>
    </font>
    <font>
      <name val="Arial"/>
      <b val="1"/>
      <color rgb="001F6E4B"/>
      <sz val="18"/>
    </font>
    <font>
      <name val="Arial"/>
      <i val="1"/>
      <color rgb="00666666"/>
      <sz val="10"/>
    </font>
    <font>
      <name val="Arial"/>
      <b val="1"/>
      <color rgb="00FFFFFF"/>
      <sz val="14"/>
    </font>
    <font>
      <name val="Arial"/>
      <b val="1"/>
      <color rgb="00666666"/>
      <sz val="9"/>
    </font>
    <font>
      <name val="Arial"/>
      <b val="1"/>
      <color rgb="001F6E4B"/>
      <sz val="15"/>
    </font>
    <font>
      <name val="Arial"/>
      <b val="1"/>
      <color rgb="00FFFFFF"/>
      <sz val="12"/>
    </font>
    <font>
      <name val="Arial"/>
      <b val="1"/>
      <sz val="11"/>
    </font>
    <font>
      <name val="Arial"/>
      <b val="1"/>
      <color rgb="00C0392B"/>
      <sz val="11"/>
    </font>
    <font>
      <name val="Arial"/>
      <b val="1"/>
      <color rgb="001F6E4B"/>
      <sz val="12"/>
    </font>
    <font>
      <name val="Arial"/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E9E6B"/>
        <bgColor rgb="002E9E6B"/>
      </patternFill>
    </fill>
    <fill>
      <patternFill patternType="solid">
        <fgColor rgb="001F6E4B"/>
        <bgColor rgb="001F6E4B"/>
      </patternFill>
    </fill>
    <fill>
      <patternFill patternType="solid">
        <fgColor rgb="00DCEFE6"/>
        <bgColor rgb="00DCEFE6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10" fontId="0" fillId="0" borderId="0" pivotButton="0" quotePrefix="0" xfId="0"/>
    <xf numFmtId="0" fontId="5" fillId="0" borderId="0" pivotButton="0" quotePrefix="0" xfId="0"/>
    <xf numFmtId="10" fontId="6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3" borderId="0" applyAlignment="1" pivotButton="0" quotePrefix="0" xfId="0">
      <alignment horizontal="center" vertical="center"/>
    </xf>
    <xf numFmtId="0" fontId="10" fillId="0" borderId="0" pivotButton="0" quotePrefix="0" xfId="0"/>
    <xf numFmtId="3" fontId="7" fillId="4" borderId="1" applyAlignment="1" pivotButton="0" quotePrefix="0" xfId="0">
      <alignment horizontal="center" vertical="center"/>
    </xf>
    <xf numFmtId="164" fontId="7" fillId="4" borderId="1" applyAlignment="1" pivotButton="0" quotePrefix="0" xfId="0">
      <alignment horizontal="center" vertical="center"/>
    </xf>
    <xf numFmtId="165" fontId="7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166" fontId="7" fillId="4" borderId="1" applyAlignment="1" pivotButton="0" quotePrefix="0" xfId="0">
      <alignment horizontal="center" vertical="center"/>
    </xf>
    <xf numFmtId="0" fontId="12" fillId="2" borderId="0" applyAlignment="1" pivotButton="0" quotePrefix="0" xfId="0">
      <alignment horizontal="left" vertical="center" indent="1"/>
    </xf>
    <xf numFmtId="0" fontId="13" fillId="0" borderId="0" pivotButton="0" quotePrefix="0" xfId="0"/>
    <xf numFmtId="0" fontId="14" fillId="5" borderId="1" applyAlignment="1" pivotButton="0" quotePrefix="0" xfId="0">
      <alignment horizontal="center"/>
    </xf>
    <xf numFmtId="3" fontId="15" fillId="4" borderId="1" applyAlignment="1" pivotButton="0" quotePrefix="0" xfId="0">
      <alignment horizontal="center"/>
    </xf>
    <xf numFmtId="164" fontId="15" fillId="4" borderId="1" applyAlignment="1" pivotButton="0" quotePrefix="0" xfId="0">
      <alignment horizontal="center"/>
    </xf>
    <xf numFmtId="165" fontId="15" fillId="4" borderId="1" applyAlignment="1" pivotButton="0" quotePrefix="0" xfId="0">
      <alignment horizontal="center"/>
    </xf>
    <xf numFmtId="0" fontId="16" fillId="2" borderId="1" applyAlignment="1" pivotButton="0" quotePrefix="0" xfId="0">
      <alignment horizontal="center" wrapText="1"/>
    </xf>
    <xf numFmtId="0" fontId="16" fillId="2" borderId="1" pivotButton="0" quotePrefix="0" xfId="0"/>
    <xf numFmtId="0" fontId="0" fillId="0" borderId="4" pivotButton="0" quotePrefix="0" xfId="0"/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2" fontId="0" fillId="0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165" fontId="0" fillId="6" borderId="1" applyAlignment="1" pivotButton="0" quotePrefix="0" xfId="0">
      <alignment horizontal="center"/>
    </xf>
    <xf numFmtId="0" fontId="0" fillId="6" borderId="1" applyAlignment="1" pivotButton="0" quotePrefix="0" xfId="0">
      <alignment horizontal="left"/>
    </xf>
    <xf numFmtId="2" fontId="0" fillId="6" borderId="1" applyAlignment="1" pivotButton="0" quotePrefix="0" xfId="0">
      <alignment horizontal="center"/>
    </xf>
    <xf numFmtId="0" fontId="0" fillId="6" borderId="0" pivotButton="0" quotePrefix="0" xfId="0"/>
    <xf numFmtId="167" fontId="0" fillId="0" borderId="1" applyAlignment="1" pivotButton="0" quotePrefix="0" xfId="0">
      <alignment horizontal="center"/>
    </xf>
    <xf numFmtId="167" fontId="0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Tempo médio ponderado por Concelho (min)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'0. Dashboard'!D18</f>
            </strRef>
          </tx>
          <spPr>
            <a:ln>
              <a:prstDash val="solid"/>
            </a:ln>
          </spPr>
          <cat>
            <numRef>
              <f>'0. Dashboard'!$B$19:$B$34</f>
            </numRef>
          </cat>
          <val>
            <numRef>
              <f>'0. Dashboard'!$D$19:$D$34</f>
            </numRef>
          </val>
        </ser>
        <ser>
          <idx val="1"/>
          <order val="1"/>
          <tx>
            <strRef>
              <f>'0. Dashboard'!E18</f>
            </strRef>
          </tx>
          <spPr>
            <a:ln>
              <a:prstDash val="solid"/>
            </a:ln>
          </spPr>
          <cat>
            <numRef>
              <f>'0. Dashboard'!$B$19:$B$34</f>
            </numRef>
          </cat>
          <val>
            <numRef>
              <f>'0. Dashboard'!$E$19:$E$34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Minutos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Concelho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Top 10 candidatos — tempo médio ponderado (min)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'0. Dashboard'!I18</f>
            </strRef>
          </tx>
          <spPr>
            <a:ln>
              <a:prstDash val="solid"/>
            </a:ln>
          </spPr>
          <cat>
            <numRef>
              <f>'0. Dashboard'!$H$19:$H$28</f>
            </numRef>
          </cat>
          <val>
            <numRef>
              <f>'0. Dashboard'!$I$19:$I$28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Minutos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Freguesia candidata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Top 15 freguesias — poupança de tempo (min)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'0. Dashboard'!F38</f>
            </strRef>
          </tx>
          <spPr>
            <a:ln>
              <a:prstDash val="solid"/>
            </a:ln>
          </spPr>
          <cat>
            <numRef>
              <f>'0. Dashboard'!$B$39:$B$53</f>
            </numRef>
          </cat>
          <val>
            <numRef>
              <f>'0. Dashboard'!$F$39:$F$53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Minutos poupados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Novo Hospital vs. Hospital de Faro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'0. Dashboard'!$H$56:$H$57</f>
            </numRef>
          </cat>
          <val>
            <numRef>
              <f>'0. Dashboard'!$I$56:$I$57</f>
            </numRef>
          </val>
        </ser>
        <dLbls>
          <showVal val="1"/>
          <showPercent val="1"/>
        </dLbls>
        <firstSliceAng val="0"/>
      </pieChart>
    </plotArea>
    <legend>
      <legendPos val="b"/>
      <overlay val="0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Capacidade vs. Procura por hospital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'0. Dashboard'!I60</f>
            </strRef>
          </tx>
          <spPr>
            <a:ln>
              <a:prstDash val="solid"/>
            </a:ln>
          </spPr>
          <cat>
            <numRef>
              <f>'0. Dashboard'!$H$61:$H$62</f>
            </numRef>
          </cat>
          <val>
            <numRef>
              <f>'0. Dashboard'!$I$61:$I$62</f>
            </numRef>
          </val>
        </ser>
        <ser>
          <idx val="1"/>
          <order val="1"/>
          <tx>
            <strRef>
              <f>'0. Dashboard'!J60</f>
            </strRef>
          </tx>
          <spPr>
            <a:ln>
              <a:prstDash val="solid"/>
            </a:ln>
          </spPr>
          <cat>
            <numRef>
              <f>'0. Dashboard'!$H$61:$H$62</f>
            </numRef>
          </cat>
          <val>
            <numRef>
              <f>'0. Dashboard'!$J$61:$J$62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Camas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37</row>
      <rowOff>0</rowOff>
    </from>
    <ext cx="864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68</row>
      <rowOff>0</rowOff>
    </from>
    <ext cx="864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93</row>
      <rowOff>0</rowOff>
    </from>
    <ext cx="8640000" cy="54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</col>
      <colOff>0</colOff>
      <row>124</row>
      <rowOff>0</rowOff>
    </from>
    <ext cx="4680000" cy="396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6</col>
      <colOff>0</colOff>
      <row>124</row>
      <rowOff>0</rowOff>
    </from>
    <ext cx="4680000" cy="396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N124"/>
  <sheetViews>
    <sheetView showGridLines="0" zoomScale="9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4" customWidth="1" min="11" max="11"/>
    <col hidden="1" width="2" customWidth="1" min="14" max="14"/>
  </cols>
  <sheetData>
    <row r="1">
      <c r="N1" t="inlineStr">
        <is>
          <t>lista_concelhos</t>
        </is>
      </c>
    </row>
    <row r="2" ht="26" customHeight="1">
      <c r="B2" s="9" t="inlineStr">
        <is>
          <t>DASHBOARD INTERATIVO — NOVO HOSPITAL NO ALGARVE (MODELO 2)</t>
        </is>
      </c>
      <c r="N2" t="inlineStr">
        <is>
          <t>Albufeira</t>
        </is>
      </c>
    </row>
    <row r="3">
      <c r="B3" s="10" t="inlineStr">
        <is>
          <t>Em que freguesia deveria ficar um novo hospital de 742 camas para minimizar o tempo de trajeto ponderado por população? — 67 freguesias candidatas do Algarve, capacidade real</t>
        </is>
      </c>
      <c r="N3" t="inlineStr">
        <is>
          <t>Alcoutim</t>
        </is>
      </c>
    </row>
    <row r="4">
      <c r="N4" t="inlineStr">
        <is>
          <t>Aljezur</t>
        </is>
      </c>
    </row>
    <row r="5" ht="22" customHeight="1">
      <c r="B5" s="11">
        <f>"🏆  MELHOR LOCALIZAÇÃO: "&amp;UPPER('1. Resumo'!C9)&amp;"  (concelho de "&amp;'1. Resumo'!C10&amp;")   —   coordenadas: "&amp;'1. Resumo'!C11</f>
        <v/>
      </c>
      <c r="N5" t="inlineStr">
        <is>
          <t>Castro Marim</t>
        </is>
      </c>
    </row>
    <row r="6" ht="22" customHeight="1">
      <c r="N6" t="inlineStr">
        <is>
          <t>Faro</t>
        </is>
      </c>
    </row>
    <row r="7">
      <c r="N7" t="inlineStr">
        <is>
          <t>Lagoa</t>
        </is>
      </c>
    </row>
    <row r="8">
      <c r="B8" s="12" t="inlineStr">
        <is>
          <t>Nº FREGUESIAS</t>
        </is>
      </c>
      <c r="C8" s="12" t="inlineStr">
        <is>
          <t>POPULAÇÃO DO ALGARVE</t>
        </is>
      </c>
      <c r="D8" s="12" t="inlineStr">
        <is>
          <t>TEMPO MÉDIO ATUAL</t>
        </is>
      </c>
      <c r="E8" s="12" t="inlineStr">
        <is>
          <t>TEMPO MÉDIO C/ NOVO HOSP.</t>
        </is>
      </c>
      <c r="F8" s="12" t="inlineStr">
        <is>
          <t>REDUÇÃO DE TEMPO</t>
        </is>
      </c>
      <c r="G8" s="12" t="inlineStr">
        <is>
          <t>% CRÍTICAS (&gt;60min) ATUAL</t>
        </is>
      </c>
      <c r="H8" s="12" t="inlineStr">
        <is>
          <t>% CRÍTICAS (&gt;60min) ÓTIMO</t>
        </is>
      </c>
      <c r="I8" s="12" t="inlineStr">
        <is>
          <t>FREG. QUE USAM NOVO HOSP.</t>
        </is>
      </c>
      <c r="J8" s="12" t="inlineStr">
        <is>
          <t>DÉFICE DE CAMAS (ÓTIMO)</t>
        </is>
      </c>
      <c r="N8" t="inlineStr">
        <is>
          <t>Lagos</t>
        </is>
      </c>
    </row>
    <row r="9" ht="30" customHeight="1">
      <c r="B9" s="13">
        <f>'1. Resumo'!C5</f>
        <v/>
      </c>
      <c r="C9" s="13">
        <f>'1. Resumo'!C6</f>
        <v/>
      </c>
      <c r="D9" s="14">
        <f>'1. Resumo'!C13</f>
        <v/>
      </c>
      <c r="E9" s="14">
        <f>'1. Resumo'!C14</f>
        <v/>
      </c>
      <c r="F9" s="14">
        <f>'1. Resumo'!C15</f>
        <v/>
      </c>
      <c r="G9" s="15">
        <f>'1. Resumo'!C17/100</f>
        <v/>
      </c>
      <c r="H9" s="15">
        <f>'1. Resumo'!C18/100</f>
        <v/>
      </c>
      <c r="I9" s="16">
        <f>'1. Resumo'!C20&amp;" / "&amp;'1. Resumo'!C5</f>
        <v/>
      </c>
      <c r="J9" s="17">
        <f>'1. Resumo'!C29</f>
        <v/>
      </c>
      <c r="N9" t="inlineStr">
        <is>
          <t>Loulé</t>
        </is>
      </c>
    </row>
    <row r="10">
      <c r="N10" t="inlineStr">
        <is>
          <t>Monchique</t>
        </is>
      </c>
    </row>
    <row r="11">
      <c r="N11" t="inlineStr">
        <is>
          <t>Olhão</t>
        </is>
      </c>
    </row>
    <row r="12" ht="22" customHeight="1">
      <c r="B12" s="18" t="inlineStr">
        <is>
          <t>🔎  FILTRO INTERATIVO — RESUMO POR CONCELHO SELECIONADO</t>
        </is>
      </c>
      <c r="N12" t="inlineStr">
        <is>
          <t>Portimão</t>
        </is>
      </c>
    </row>
    <row r="13">
      <c r="D13" s="12" t="inlineStr">
        <is>
          <t>Nº Freguesias</t>
        </is>
      </c>
      <c r="E13" s="12" t="inlineStr">
        <is>
          <t>População total</t>
        </is>
      </c>
      <c r="F13" s="12" t="inlineStr">
        <is>
          <t>Tempo médio ATUAL (pond.)</t>
        </is>
      </c>
      <c r="G13" s="12" t="inlineStr">
        <is>
          <t>Tempo médio C/ NOVO HOSP. (pond.)</t>
        </is>
      </c>
      <c r="H13" s="12" t="inlineStr">
        <is>
          <t>Poupança média</t>
        </is>
      </c>
      <c r="I13" s="12" t="inlineStr">
        <is>
          <t>% que usa o novo hospital</t>
        </is>
      </c>
      <c r="N13" t="inlineStr">
        <is>
          <t>Silves</t>
        </is>
      </c>
    </row>
    <row r="14" ht="24" customHeight="1">
      <c r="B14" s="19" t="inlineStr">
        <is>
          <t>Escolher Concelho:</t>
        </is>
      </c>
      <c r="C14" s="20" t="inlineStr">
        <is>
          <t>Portimão</t>
        </is>
      </c>
      <c r="D14" s="21">
        <f>COUNTIF('3. Impacto_Melhor_Local'!A3:A69,$C$14)</f>
        <v/>
      </c>
      <c r="E14" s="21">
        <f>SUMIF('3. Impacto_Melhor_Local'!A3:A69,$C$14,'3. Impacto_Melhor_Local'!C3:C69)</f>
        <v/>
      </c>
      <c r="F14" s="22">
        <f>SUMPRODUCT(('3. Impacto_Melhor_Local'!$A3:A69=$C$14)*'3. Impacto_Melhor_Local'!C3:C69*'3. Impacto_Melhor_Local'!E3:E69)/SUMPRODUCT(('3. Impacto_Melhor_Local'!$A3:A69=$C$14)*'3. Impacto_Melhor_Local'!C3:C69)</f>
        <v/>
      </c>
      <c r="G14" s="22">
        <f>SUMPRODUCT(('3. Impacto_Melhor_Local'!$A3:A69=$C$14)*'3. Impacto_Melhor_Local'!C3:C69*'3. Impacto_Melhor_Local'!F3:F69)/SUMPRODUCT(('3. Impacto_Melhor_Local'!$A3:A69=$C$14)*'3. Impacto_Melhor_Local'!C3:C69)</f>
        <v/>
      </c>
      <c r="H14" s="22">
        <f>SUMIF('3. Impacto_Melhor_Local'!A3:A69,$C$14,'3. Impacto_Melhor_Local'!G3:G69)/COUNTIF('3. Impacto_Melhor_Local'!A3:A69,$C$14)</f>
        <v/>
      </c>
      <c r="I14" s="23">
        <f>COUNTIFS('3. Impacto_Melhor_Local'!A3:A69,$C$14,'3. Impacto_Melhor_Local'!I3:I69,"Sim")/COUNTIF('3. Impacto_Melhor_Local'!A3:A69,$C$14)</f>
        <v/>
      </c>
      <c r="N14" t="inlineStr">
        <is>
          <t>São Brás de Alportel</t>
        </is>
      </c>
    </row>
    <row r="15">
      <c r="N15" t="inlineStr">
        <is>
          <t>Tavira</t>
        </is>
      </c>
    </row>
    <row r="16">
      <c r="N16" t="inlineStr">
        <is>
          <t>Vila Real de Santo António</t>
        </is>
      </c>
    </row>
    <row r="17" ht="22" customHeight="1">
      <c r="B17" s="18" t="inlineStr">
        <is>
          <t>📊  ANÁLISE POR CONCELHO</t>
        </is>
      </c>
      <c r="H17" s="18" t="inlineStr">
        <is>
          <t>🏆  TOP 10 CANDIDATOS (menor custo = melhor)</t>
        </is>
      </c>
      <c r="N17" t="inlineStr">
        <is>
          <t>Vila do Bispo</t>
        </is>
      </c>
    </row>
    <row r="18" ht="30" customHeight="1">
      <c r="B18" s="24" t="inlineStr">
        <is>
          <t>Concelho</t>
        </is>
      </c>
      <c r="C18" s="24" t="inlineStr">
        <is>
          <t>Nº Freguesias</t>
        </is>
      </c>
      <c r="D18" s="24" t="inlineStr">
        <is>
          <t>Tempo Médio ATUAL (min)</t>
        </is>
      </c>
      <c r="E18" s="24" t="inlineStr">
        <is>
          <t>Tempo Médio C/ NOVO HOSP. (min)</t>
        </is>
      </c>
      <c r="F18" s="24" t="inlineStr">
        <is>
          <t>% Usa Novo Hospital</t>
        </is>
      </c>
      <c r="H18" s="25" t="inlineStr">
        <is>
          <t>Freguesia (Concelho)</t>
        </is>
      </c>
      <c r="I18" s="24" t="inlineStr">
        <is>
          <t>Tempo Médio (min)</t>
        </is>
      </c>
      <c r="J18" s="26" t="n"/>
    </row>
    <row r="19">
      <c r="B19" s="27" t="inlineStr">
        <is>
          <t>Albufeira</t>
        </is>
      </c>
      <c r="C19" s="27">
        <f>COUNTIF('3. Impacto_Melhor_Local'!$A$3:$A$69,$B19)</f>
        <v/>
      </c>
      <c r="D19" s="27">
        <f>IFERROR(ROUND(SUMPRODUCT(('3. Impacto_Melhor_Local'!$A$3:$A$69=$B19)*'3. Impacto_Melhor_Local'!$C$3:$C$69*'3. Impacto_Melhor_Local'!$E$3:$E$69)/SUMPRODUCT(('3. Impacto_Melhor_Local'!$A$3:$A$69=$B19)*'3. Impacto_Melhor_Local'!$C$3:$C$69),1),0)</f>
        <v/>
      </c>
      <c r="E19" s="27">
        <f>IFERROR(ROUND(SUMPRODUCT(('3. Impacto_Melhor_Local'!$A$3:$A$69=$B19)*'3. Impacto_Melhor_Local'!$C$3:$C$69*'3. Impacto_Melhor_Local'!$F$3:$F$69)/SUMPRODUCT(('3. Impacto_Melhor_Local'!$A$3:$A$69=$B19)*'3. Impacto_Melhor_Local'!$C$3:$C$69),1),0)</f>
        <v/>
      </c>
      <c r="F19" s="28">
        <f>COUNTIFS('3. Impacto_Melhor_Local'!$A$3:$A$69,$B19,'3. Impacto_Melhor_Local'!$I$3:$I$69,"Sim")/COUNTIF('3. Impacto_Melhor_Local'!$A$3:$A$69,$B19)</f>
        <v/>
      </c>
      <c r="H19" s="29">
        <f>'2. Ranking_Candidatos'!C3&amp;" ("&amp;'2. Ranking_Candidatos'!B3&amp;")"</f>
        <v/>
      </c>
      <c r="I19" s="30">
        <f>'2. Ranking_Candidatos'!G3</f>
        <v/>
      </c>
    </row>
    <row r="20">
      <c r="B20" s="31" t="inlineStr">
        <is>
          <t>Alcoutim</t>
        </is>
      </c>
      <c r="C20" s="31">
        <f>COUNTIF('3. Impacto_Melhor_Local'!$A$3:$A$69,$B20)</f>
        <v/>
      </c>
      <c r="D20" s="31">
        <f>IFERROR(ROUND(SUMPRODUCT(('3. Impacto_Melhor_Local'!$A$3:$A$69=$B20)*'3. Impacto_Melhor_Local'!$C$3:$C$69*'3. Impacto_Melhor_Local'!$E$3:$E$69)/SUMPRODUCT(('3. Impacto_Melhor_Local'!$A$3:$A$69=$B20)*'3. Impacto_Melhor_Local'!$C$3:$C$69),1),0)</f>
        <v/>
      </c>
      <c r="E20" s="31">
        <f>IFERROR(ROUND(SUMPRODUCT(('3. Impacto_Melhor_Local'!$A$3:$A$69=$B20)*'3. Impacto_Melhor_Local'!$C$3:$C$69*'3. Impacto_Melhor_Local'!$F$3:$F$69)/SUMPRODUCT(('3. Impacto_Melhor_Local'!$A$3:$A$69=$B20)*'3. Impacto_Melhor_Local'!$C$3:$C$69),1),0)</f>
        <v/>
      </c>
      <c r="F20" s="32">
        <f>COUNTIFS('3. Impacto_Melhor_Local'!$A$3:$A$69,$B20,'3. Impacto_Melhor_Local'!$I$3:$I$69,"Sim")/COUNTIF('3. Impacto_Melhor_Local'!$A$3:$A$69,$B20)</f>
        <v/>
      </c>
      <c r="H20" s="33">
        <f>'2. Ranking_Candidatos'!C4&amp;" ("&amp;'2. Ranking_Candidatos'!B4&amp;")"</f>
        <v/>
      </c>
      <c r="I20" s="34">
        <f>'2. Ranking_Candidatos'!G4</f>
        <v/>
      </c>
      <c r="J20" s="35" t="n"/>
    </row>
    <row r="21">
      <c r="B21" s="27" t="inlineStr">
        <is>
          <t>Aljezur</t>
        </is>
      </c>
      <c r="C21" s="27">
        <f>COUNTIF('3. Impacto_Melhor_Local'!$A$3:$A$69,$B21)</f>
        <v/>
      </c>
      <c r="D21" s="27">
        <f>IFERROR(ROUND(SUMPRODUCT(('3. Impacto_Melhor_Local'!$A$3:$A$69=$B21)*'3. Impacto_Melhor_Local'!$C$3:$C$69*'3. Impacto_Melhor_Local'!$E$3:$E$69)/SUMPRODUCT(('3. Impacto_Melhor_Local'!$A$3:$A$69=$B21)*'3. Impacto_Melhor_Local'!$C$3:$C$69),1),0)</f>
        <v/>
      </c>
      <c r="E21" s="27">
        <f>IFERROR(ROUND(SUMPRODUCT(('3. Impacto_Melhor_Local'!$A$3:$A$69=$B21)*'3. Impacto_Melhor_Local'!$C$3:$C$69*'3. Impacto_Melhor_Local'!$F$3:$F$69)/SUMPRODUCT(('3. Impacto_Melhor_Local'!$A$3:$A$69=$B21)*'3. Impacto_Melhor_Local'!$C$3:$C$69),1),0)</f>
        <v/>
      </c>
      <c r="F21" s="28">
        <f>COUNTIFS('3. Impacto_Melhor_Local'!$A$3:$A$69,$B21,'3. Impacto_Melhor_Local'!$I$3:$I$69,"Sim")/COUNTIF('3. Impacto_Melhor_Local'!$A$3:$A$69,$B21)</f>
        <v/>
      </c>
      <c r="H21" s="29">
        <f>'2. Ranking_Candidatos'!C5&amp;" ("&amp;'2. Ranking_Candidatos'!B5&amp;")"</f>
        <v/>
      </c>
      <c r="I21" s="30">
        <f>'2. Ranking_Candidatos'!G5</f>
        <v/>
      </c>
    </row>
    <row r="22">
      <c r="B22" s="31" t="inlineStr">
        <is>
          <t>Castro Marim</t>
        </is>
      </c>
      <c r="C22" s="31">
        <f>COUNTIF('3. Impacto_Melhor_Local'!$A$3:$A$69,$B22)</f>
        <v/>
      </c>
      <c r="D22" s="31">
        <f>IFERROR(ROUND(SUMPRODUCT(('3. Impacto_Melhor_Local'!$A$3:$A$69=$B22)*'3. Impacto_Melhor_Local'!$C$3:$C$69*'3. Impacto_Melhor_Local'!$E$3:$E$69)/SUMPRODUCT(('3. Impacto_Melhor_Local'!$A$3:$A$69=$B22)*'3. Impacto_Melhor_Local'!$C$3:$C$69),1),0)</f>
        <v/>
      </c>
      <c r="E22" s="31">
        <f>IFERROR(ROUND(SUMPRODUCT(('3. Impacto_Melhor_Local'!$A$3:$A$69=$B22)*'3. Impacto_Melhor_Local'!$C$3:$C$69*'3. Impacto_Melhor_Local'!$F$3:$F$69)/SUMPRODUCT(('3. Impacto_Melhor_Local'!$A$3:$A$69=$B22)*'3. Impacto_Melhor_Local'!$C$3:$C$69),1),0)</f>
        <v/>
      </c>
      <c r="F22" s="32">
        <f>COUNTIFS('3. Impacto_Melhor_Local'!$A$3:$A$69,$B22,'3. Impacto_Melhor_Local'!$I$3:$I$69,"Sim")/COUNTIF('3. Impacto_Melhor_Local'!$A$3:$A$69,$B22)</f>
        <v/>
      </c>
      <c r="H22" s="33">
        <f>'2. Ranking_Candidatos'!C6&amp;" ("&amp;'2. Ranking_Candidatos'!B6&amp;")"</f>
        <v/>
      </c>
      <c r="I22" s="34">
        <f>'2. Ranking_Candidatos'!G6</f>
        <v/>
      </c>
      <c r="J22" s="35" t="n"/>
    </row>
    <row r="23">
      <c r="B23" s="27" t="inlineStr">
        <is>
          <t>Faro</t>
        </is>
      </c>
      <c r="C23" s="27">
        <f>COUNTIF('3. Impacto_Melhor_Local'!$A$3:$A$69,$B23)</f>
        <v/>
      </c>
      <c r="D23" s="27">
        <f>IFERROR(ROUND(SUMPRODUCT(('3. Impacto_Melhor_Local'!$A$3:$A$69=$B23)*'3. Impacto_Melhor_Local'!$C$3:$C$69*'3. Impacto_Melhor_Local'!$E$3:$E$69)/SUMPRODUCT(('3. Impacto_Melhor_Local'!$A$3:$A$69=$B23)*'3. Impacto_Melhor_Local'!$C$3:$C$69),1),0)</f>
        <v/>
      </c>
      <c r="E23" s="27">
        <f>IFERROR(ROUND(SUMPRODUCT(('3. Impacto_Melhor_Local'!$A$3:$A$69=$B23)*'3. Impacto_Melhor_Local'!$C$3:$C$69*'3. Impacto_Melhor_Local'!$F$3:$F$69)/SUMPRODUCT(('3. Impacto_Melhor_Local'!$A$3:$A$69=$B23)*'3. Impacto_Melhor_Local'!$C$3:$C$69),1),0)</f>
        <v/>
      </c>
      <c r="F23" s="28">
        <f>COUNTIFS('3. Impacto_Melhor_Local'!$A$3:$A$69,$B23,'3. Impacto_Melhor_Local'!$I$3:$I$69,"Sim")/COUNTIF('3. Impacto_Melhor_Local'!$A$3:$A$69,$B23)</f>
        <v/>
      </c>
      <c r="H23" s="29">
        <f>'2. Ranking_Candidatos'!C7&amp;" ("&amp;'2. Ranking_Candidatos'!B7&amp;")"</f>
        <v/>
      </c>
      <c r="I23" s="30">
        <f>'2. Ranking_Candidatos'!G7</f>
        <v/>
      </c>
    </row>
    <row r="24">
      <c r="B24" s="31" t="inlineStr">
        <is>
          <t>Lagoa</t>
        </is>
      </c>
      <c r="C24" s="31">
        <f>COUNTIF('3. Impacto_Melhor_Local'!$A$3:$A$69,$B24)</f>
        <v/>
      </c>
      <c r="D24" s="31">
        <f>IFERROR(ROUND(SUMPRODUCT(('3. Impacto_Melhor_Local'!$A$3:$A$69=$B24)*'3. Impacto_Melhor_Local'!$C$3:$C$69*'3. Impacto_Melhor_Local'!$E$3:$E$69)/SUMPRODUCT(('3. Impacto_Melhor_Local'!$A$3:$A$69=$B24)*'3. Impacto_Melhor_Local'!$C$3:$C$69),1),0)</f>
        <v/>
      </c>
      <c r="E24" s="31">
        <f>IFERROR(ROUND(SUMPRODUCT(('3. Impacto_Melhor_Local'!$A$3:$A$69=$B24)*'3. Impacto_Melhor_Local'!$C$3:$C$69*'3. Impacto_Melhor_Local'!$F$3:$F$69)/SUMPRODUCT(('3. Impacto_Melhor_Local'!$A$3:$A$69=$B24)*'3. Impacto_Melhor_Local'!$C$3:$C$69),1),0)</f>
        <v/>
      </c>
      <c r="F24" s="32">
        <f>COUNTIFS('3. Impacto_Melhor_Local'!$A$3:$A$69,$B24,'3. Impacto_Melhor_Local'!$I$3:$I$69,"Sim")/COUNTIF('3. Impacto_Melhor_Local'!$A$3:$A$69,$B24)</f>
        <v/>
      </c>
      <c r="H24" s="33">
        <f>'2. Ranking_Candidatos'!C8&amp;" ("&amp;'2. Ranking_Candidatos'!B8&amp;")"</f>
        <v/>
      </c>
      <c r="I24" s="34">
        <f>'2. Ranking_Candidatos'!G8</f>
        <v/>
      </c>
      <c r="J24" s="35" t="n"/>
    </row>
    <row r="25">
      <c r="B25" s="27" t="inlineStr">
        <is>
          <t>Lagos</t>
        </is>
      </c>
      <c r="C25" s="27">
        <f>COUNTIF('3. Impacto_Melhor_Local'!$A$3:$A$69,$B25)</f>
        <v/>
      </c>
      <c r="D25" s="27">
        <f>IFERROR(ROUND(SUMPRODUCT(('3. Impacto_Melhor_Local'!$A$3:$A$69=$B25)*'3. Impacto_Melhor_Local'!$C$3:$C$69*'3. Impacto_Melhor_Local'!$E$3:$E$69)/SUMPRODUCT(('3. Impacto_Melhor_Local'!$A$3:$A$69=$B25)*'3. Impacto_Melhor_Local'!$C$3:$C$69),1),0)</f>
        <v/>
      </c>
      <c r="E25" s="27">
        <f>IFERROR(ROUND(SUMPRODUCT(('3. Impacto_Melhor_Local'!$A$3:$A$69=$B25)*'3. Impacto_Melhor_Local'!$C$3:$C$69*'3. Impacto_Melhor_Local'!$F$3:$F$69)/SUMPRODUCT(('3. Impacto_Melhor_Local'!$A$3:$A$69=$B25)*'3. Impacto_Melhor_Local'!$C$3:$C$69),1),0)</f>
        <v/>
      </c>
      <c r="F25" s="28">
        <f>COUNTIFS('3. Impacto_Melhor_Local'!$A$3:$A$69,$B25,'3. Impacto_Melhor_Local'!$I$3:$I$69,"Sim")/COUNTIF('3. Impacto_Melhor_Local'!$A$3:$A$69,$B25)</f>
        <v/>
      </c>
      <c r="H25" s="29">
        <f>'2. Ranking_Candidatos'!C9&amp;" ("&amp;'2. Ranking_Candidatos'!B9&amp;")"</f>
        <v/>
      </c>
      <c r="I25" s="30">
        <f>'2. Ranking_Candidatos'!G9</f>
        <v/>
      </c>
    </row>
    <row r="26">
      <c r="B26" s="31" t="inlineStr">
        <is>
          <t>Loulé</t>
        </is>
      </c>
      <c r="C26" s="31">
        <f>COUNTIF('3. Impacto_Melhor_Local'!$A$3:$A$69,$B26)</f>
        <v/>
      </c>
      <c r="D26" s="31">
        <f>IFERROR(ROUND(SUMPRODUCT(('3. Impacto_Melhor_Local'!$A$3:$A$69=$B26)*'3. Impacto_Melhor_Local'!$C$3:$C$69*'3. Impacto_Melhor_Local'!$E$3:$E$69)/SUMPRODUCT(('3. Impacto_Melhor_Local'!$A$3:$A$69=$B26)*'3. Impacto_Melhor_Local'!$C$3:$C$69),1),0)</f>
        <v/>
      </c>
      <c r="E26" s="31">
        <f>IFERROR(ROUND(SUMPRODUCT(('3. Impacto_Melhor_Local'!$A$3:$A$69=$B26)*'3. Impacto_Melhor_Local'!$C$3:$C$69*'3. Impacto_Melhor_Local'!$F$3:$F$69)/SUMPRODUCT(('3. Impacto_Melhor_Local'!$A$3:$A$69=$B26)*'3. Impacto_Melhor_Local'!$C$3:$C$69),1),0)</f>
        <v/>
      </c>
      <c r="F26" s="32">
        <f>COUNTIFS('3. Impacto_Melhor_Local'!$A$3:$A$69,$B26,'3. Impacto_Melhor_Local'!$I$3:$I$69,"Sim")/COUNTIF('3. Impacto_Melhor_Local'!$A$3:$A$69,$B26)</f>
        <v/>
      </c>
      <c r="H26" s="33">
        <f>'2. Ranking_Candidatos'!C10&amp;" ("&amp;'2. Ranking_Candidatos'!B10&amp;")"</f>
        <v/>
      </c>
      <c r="I26" s="34">
        <f>'2. Ranking_Candidatos'!G10</f>
        <v/>
      </c>
      <c r="J26" s="35" t="n"/>
    </row>
    <row r="27">
      <c r="B27" s="27" t="inlineStr">
        <is>
          <t>Monchique</t>
        </is>
      </c>
      <c r="C27" s="27">
        <f>COUNTIF('3. Impacto_Melhor_Local'!$A$3:$A$69,$B27)</f>
        <v/>
      </c>
      <c r="D27" s="27">
        <f>IFERROR(ROUND(SUMPRODUCT(('3. Impacto_Melhor_Local'!$A$3:$A$69=$B27)*'3. Impacto_Melhor_Local'!$C$3:$C$69*'3. Impacto_Melhor_Local'!$E$3:$E$69)/SUMPRODUCT(('3. Impacto_Melhor_Local'!$A$3:$A$69=$B27)*'3. Impacto_Melhor_Local'!$C$3:$C$69),1),0)</f>
        <v/>
      </c>
      <c r="E27" s="27">
        <f>IFERROR(ROUND(SUMPRODUCT(('3. Impacto_Melhor_Local'!$A$3:$A$69=$B27)*'3. Impacto_Melhor_Local'!$C$3:$C$69*'3. Impacto_Melhor_Local'!$F$3:$F$69)/SUMPRODUCT(('3. Impacto_Melhor_Local'!$A$3:$A$69=$B27)*'3. Impacto_Melhor_Local'!$C$3:$C$69),1),0)</f>
        <v/>
      </c>
      <c r="F27" s="28">
        <f>COUNTIFS('3. Impacto_Melhor_Local'!$A$3:$A$69,$B27,'3. Impacto_Melhor_Local'!$I$3:$I$69,"Sim")/COUNTIF('3. Impacto_Melhor_Local'!$A$3:$A$69,$B27)</f>
        <v/>
      </c>
      <c r="H27" s="29">
        <f>'2. Ranking_Candidatos'!C11&amp;" ("&amp;'2. Ranking_Candidatos'!B11&amp;")"</f>
        <v/>
      </c>
      <c r="I27" s="30">
        <f>'2. Ranking_Candidatos'!G11</f>
        <v/>
      </c>
    </row>
    <row r="28">
      <c r="B28" s="31" t="inlineStr">
        <is>
          <t>Olhão</t>
        </is>
      </c>
      <c r="C28" s="31">
        <f>COUNTIF('3. Impacto_Melhor_Local'!$A$3:$A$69,$B28)</f>
        <v/>
      </c>
      <c r="D28" s="31">
        <f>IFERROR(ROUND(SUMPRODUCT(('3. Impacto_Melhor_Local'!$A$3:$A$69=$B28)*'3. Impacto_Melhor_Local'!$C$3:$C$69*'3. Impacto_Melhor_Local'!$E$3:$E$69)/SUMPRODUCT(('3. Impacto_Melhor_Local'!$A$3:$A$69=$B28)*'3. Impacto_Melhor_Local'!$C$3:$C$69),1),0)</f>
        <v/>
      </c>
      <c r="E28" s="31">
        <f>IFERROR(ROUND(SUMPRODUCT(('3. Impacto_Melhor_Local'!$A$3:$A$69=$B28)*'3. Impacto_Melhor_Local'!$C$3:$C$69*'3. Impacto_Melhor_Local'!$F$3:$F$69)/SUMPRODUCT(('3. Impacto_Melhor_Local'!$A$3:$A$69=$B28)*'3. Impacto_Melhor_Local'!$C$3:$C$69),1),0)</f>
        <v/>
      </c>
      <c r="F28" s="32">
        <f>COUNTIFS('3. Impacto_Melhor_Local'!$A$3:$A$69,$B28,'3. Impacto_Melhor_Local'!$I$3:$I$69,"Sim")/COUNTIF('3. Impacto_Melhor_Local'!$A$3:$A$69,$B28)</f>
        <v/>
      </c>
      <c r="H28" s="33">
        <f>'2. Ranking_Candidatos'!C12&amp;" ("&amp;'2. Ranking_Candidatos'!B12&amp;")"</f>
        <v/>
      </c>
      <c r="I28" s="34">
        <f>'2. Ranking_Candidatos'!G12</f>
        <v/>
      </c>
      <c r="J28" s="35" t="n"/>
    </row>
    <row r="29">
      <c r="B29" s="27" t="inlineStr">
        <is>
          <t>Portimão</t>
        </is>
      </c>
      <c r="C29" s="27">
        <f>COUNTIF('3. Impacto_Melhor_Local'!$A$3:$A$69,$B29)</f>
        <v/>
      </c>
      <c r="D29" s="27">
        <f>IFERROR(ROUND(SUMPRODUCT(('3. Impacto_Melhor_Local'!$A$3:$A$69=$B29)*'3. Impacto_Melhor_Local'!$C$3:$C$69*'3. Impacto_Melhor_Local'!$E$3:$E$69)/SUMPRODUCT(('3. Impacto_Melhor_Local'!$A$3:$A$69=$B29)*'3. Impacto_Melhor_Local'!$C$3:$C$69),1),0)</f>
        <v/>
      </c>
      <c r="E29" s="27">
        <f>IFERROR(ROUND(SUMPRODUCT(('3. Impacto_Melhor_Local'!$A$3:$A$69=$B29)*'3. Impacto_Melhor_Local'!$C$3:$C$69*'3. Impacto_Melhor_Local'!$F$3:$F$69)/SUMPRODUCT(('3. Impacto_Melhor_Local'!$A$3:$A$69=$B29)*'3. Impacto_Melhor_Local'!$C$3:$C$69),1),0)</f>
        <v/>
      </c>
      <c r="F29" s="28">
        <f>COUNTIFS('3. Impacto_Melhor_Local'!$A$3:$A$69,$B29,'3. Impacto_Melhor_Local'!$I$3:$I$69,"Sim")/COUNTIF('3. Impacto_Melhor_Local'!$A$3:$A$69,$B29)</f>
        <v/>
      </c>
    </row>
    <row r="30">
      <c r="B30" s="31" t="inlineStr">
        <is>
          <t>Silves</t>
        </is>
      </c>
      <c r="C30" s="31">
        <f>COUNTIF('3. Impacto_Melhor_Local'!$A$3:$A$69,$B30)</f>
        <v/>
      </c>
      <c r="D30" s="31">
        <f>IFERROR(ROUND(SUMPRODUCT(('3. Impacto_Melhor_Local'!$A$3:$A$69=$B30)*'3. Impacto_Melhor_Local'!$C$3:$C$69*'3. Impacto_Melhor_Local'!$E$3:$E$69)/SUMPRODUCT(('3. Impacto_Melhor_Local'!$A$3:$A$69=$B30)*'3. Impacto_Melhor_Local'!$C$3:$C$69),1),0)</f>
        <v/>
      </c>
      <c r="E30" s="31">
        <f>IFERROR(ROUND(SUMPRODUCT(('3. Impacto_Melhor_Local'!$A$3:$A$69=$B30)*'3. Impacto_Melhor_Local'!$C$3:$C$69*'3. Impacto_Melhor_Local'!$F$3:$F$69)/SUMPRODUCT(('3. Impacto_Melhor_Local'!$A$3:$A$69=$B30)*'3. Impacto_Melhor_Local'!$C$3:$C$69),1),0)</f>
        <v/>
      </c>
      <c r="F30" s="32">
        <f>COUNTIFS('3. Impacto_Melhor_Local'!$A$3:$A$69,$B30,'3. Impacto_Melhor_Local'!$I$3:$I$69,"Sim")/COUNTIF('3. Impacto_Melhor_Local'!$A$3:$A$69,$B30)</f>
        <v/>
      </c>
    </row>
    <row r="31">
      <c r="B31" s="27" t="inlineStr">
        <is>
          <t>São Brás de Alportel</t>
        </is>
      </c>
      <c r="C31" s="27">
        <f>COUNTIF('3. Impacto_Melhor_Local'!$A$3:$A$69,$B31)</f>
        <v/>
      </c>
      <c r="D31" s="27">
        <f>IFERROR(ROUND(SUMPRODUCT(('3. Impacto_Melhor_Local'!$A$3:$A$69=$B31)*'3. Impacto_Melhor_Local'!$C$3:$C$69*'3. Impacto_Melhor_Local'!$E$3:$E$69)/SUMPRODUCT(('3. Impacto_Melhor_Local'!$A$3:$A$69=$B31)*'3. Impacto_Melhor_Local'!$C$3:$C$69),1),0)</f>
        <v/>
      </c>
      <c r="E31" s="27">
        <f>IFERROR(ROUND(SUMPRODUCT(('3. Impacto_Melhor_Local'!$A$3:$A$69=$B31)*'3. Impacto_Melhor_Local'!$C$3:$C$69*'3. Impacto_Melhor_Local'!$F$3:$F$69)/SUMPRODUCT(('3. Impacto_Melhor_Local'!$A$3:$A$69=$B31)*'3. Impacto_Melhor_Local'!$C$3:$C$69),1),0)</f>
        <v/>
      </c>
      <c r="F31" s="28">
        <f>COUNTIFS('3. Impacto_Melhor_Local'!$A$3:$A$69,$B31,'3. Impacto_Melhor_Local'!$I$3:$I$69,"Sim")/COUNTIF('3. Impacto_Melhor_Local'!$A$3:$A$69,$B31)</f>
        <v/>
      </c>
    </row>
    <row r="32">
      <c r="B32" s="31" t="inlineStr">
        <is>
          <t>Tavira</t>
        </is>
      </c>
      <c r="C32" s="31">
        <f>COUNTIF('3. Impacto_Melhor_Local'!$A$3:$A$69,$B32)</f>
        <v/>
      </c>
      <c r="D32" s="31">
        <f>IFERROR(ROUND(SUMPRODUCT(('3. Impacto_Melhor_Local'!$A$3:$A$69=$B32)*'3. Impacto_Melhor_Local'!$C$3:$C$69*'3. Impacto_Melhor_Local'!$E$3:$E$69)/SUMPRODUCT(('3. Impacto_Melhor_Local'!$A$3:$A$69=$B32)*'3. Impacto_Melhor_Local'!$C$3:$C$69),1),0)</f>
        <v/>
      </c>
      <c r="E32" s="31">
        <f>IFERROR(ROUND(SUMPRODUCT(('3. Impacto_Melhor_Local'!$A$3:$A$69=$B32)*'3. Impacto_Melhor_Local'!$C$3:$C$69*'3. Impacto_Melhor_Local'!$F$3:$F$69)/SUMPRODUCT(('3. Impacto_Melhor_Local'!$A$3:$A$69=$B32)*'3. Impacto_Melhor_Local'!$C$3:$C$69),1),0)</f>
        <v/>
      </c>
      <c r="F32" s="32">
        <f>COUNTIFS('3. Impacto_Melhor_Local'!$A$3:$A$69,$B32,'3. Impacto_Melhor_Local'!$I$3:$I$69,"Sim")/COUNTIF('3. Impacto_Melhor_Local'!$A$3:$A$69,$B32)</f>
        <v/>
      </c>
    </row>
    <row r="33">
      <c r="B33" s="27" t="inlineStr">
        <is>
          <t>Vila Real de Santo António</t>
        </is>
      </c>
      <c r="C33" s="27">
        <f>COUNTIF('3. Impacto_Melhor_Local'!$A$3:$A$69,$B33)</f>
        <v/>
      </c>
      <c r="D33" s="27">
        <f>IFERROR(ROUND(SUMPRODUCT(('3. Impacto_Melhor_Local'!$A$3:$A$69=$B33)*'3. Impacto_Melhor_Local'!$C$3:$C$69*'3. Impacto_Melhor_Local'!$E$3:$E$69)/SUMPRODUCT(('3. Impacto_Melhor_Local'!$A$3:$A$69=$B33)*'3. Impacto_Melhor_Local'!$C$3:$C$69),1),0)</f>
        <v/>
      </c>
      <c r="E33" s="27">
        <f>IFERROR(ROUND(SUMPRODUCT(('3. Impacto_Melhor_Local'!$A$3:$A$69=$B33)*'3. Impacto_Melhor_Local'!$C$3:$C$69*'3. Impacto_Melhor_Local'!$F$3:$F$69)/SUMPRODUCT(('3. Impacto_Melhor_Local'!$A$3:$A$69=$B33)*'3. Impacto_Melhor_Local'!$C$3:$C$69),1),0)</f>
        <v/>
      </c>
      <c r="F33" s="28">
        <f>COUNTIFS('3. Impacto_Melhor_Local'!$A$3:$A$69,$B33,'3. Impacto_Melhor_Local'!$I$3:$I$69,"Sim")/COUNTIF('3. Impacto_Melhor_Local'!$A$3:$A$69,$B33)</f>
        <v/>
      </c>
    </row>
    <row r="34">
      <c r="B34" s="31" t="inlineStr">
        <is>
          <t>Vila do Bispo</t>
        </is>
      </c>
      <c r="C34" s="31">
        <f>COUNTIF('3. Impacto_Melhor_Local'!$A$3:$A$69,$B34)</f>
        <v/>
      </c>
      <c r="D34" s="31">
        <f>IFERROR(ROUND(SUMPRODUCT(('3. Impacto_Melhor_Local'!$A$3:$A$69=$B34)*'3. Impacto_Melhor_Local'!$C$3:$C$69*'3. Impacto_Melhor_Local'!$E$3:$E$69)/SUMPRODUCT(('3. Impacto_Melhor_Local'!$A$3:$A$69=$B34)*'3. Impacto_Melhor_Local'!$C$3:$C$69),1),0)</f>
        <v/>
      </c>
      <c r="E34" s="31">
        <f>IFERROR(ROUND(SUMPRODUCT(('3. Impacto_Melhor_Local'!$A$3:$A$69=$B34)*'3. Impacto_Melhor_Local'!$C$3:$C$69*'3. Impacto_Melhor_Local'!$F$3:$F$69)/SUMPRODUCT(('3. Impacto_Melhor_Local'!$A$3:$A$69=$B34)*'3. Impacto_Melhor_Local'!$C$3:$C$69),1),0)</f>
        <v/>
      </c>
      <c r="F34" s="32">
        <f>COUNTIFS('3. Impacto_Melhor_Local'!$A$3:$A$69,$B34,'3. Impacto_Melhor_Local'!$I$3:$I$69,"Sim")/COUNTIF('3. Impacto_Melhor_Local'!$A$3:$A$69,$B34)</f>
        <v/>
      </c>
    </row>
    <row r="37" ht="22" customHeight="1">
      <c r="B37" s="18" t="inlineStr">
        <is>
          <t>📈  GRÁFICO — Tempo médio de acesso por Concelho (Atual vs. C/ Novo Hospital)</t>
        </is>
      </c>
    </row>
    <row r="38" ht="28" customHeight="1">
      <c r="B38" s="24" t="inlineStr">
        <is>
          <t>Freguesia</t>
        </is>
      </c>
      <c r="C38" s="24" t="inlineStr">
        <is>
          <t>Concelho</t>
        </is>
      </c>
      <c r="D38" s="24" t="inlineStr">
        <is>
          <t>Tempo Atual (min)</t>
        </is>
      </c>
      <c r="E38" s="24" t="inlineStr">
        <is>
          <t>Tempo C/ Novo Hosp. (min)</t>
        </is>
      </c>
      <c r="F38" s="24" t="inlineStr">
        <is>
          <t>Poupança (min)</t>
        </is>
      </c>
    </row>
    <row r="39">
      <c r="B39" s="29">
        <f>'3. Impacto_Melhor_Local'!B3</f>
        <v/>
      </c>
      <c r="C39" s="29">
        <f>'3. Impacto_Melhor_Local'!A3</f>
        <v/>
      </c>
      <c r="D39" s="36">
        <f>'3. Impacto_Melhor_Local'!E3</f>
        <v/>
      </c>
      <c r="E39" s="36">
        <f>'3. Impacto_Melhor_Local'!F3</f>
        <v/>
      </c>
      <c r="F39" s="36">
        <f>'3. Impacto_Melhor_Local'!G3</f>
        <v/>
      </c>
    </row>
    <row r="40">
      <c r="B40" s="33">
        <f>'3. Impacto_Melhor_Local'!B4</f>
        <v/>
      </c>
      <c r="C40" s="33">
        <f>'3. Impacto_Melhor_Local'!A4</f>
        <v/>
      </c>
      <c r="D40" s="37">
        <f>'3. Impacto_Melhor_Local'!E4</f>
        <v/>
      </c>
      <c r="E40" s="37">
        <f>'3. Impacto_Melhor_Local'!F4</f>
        <v/>
      </c>
      <c r="F40" s="37">
        <f>'3. Impacto_Melhor_Local'!G4</f>
        <v/>
      </c>
    </row>
    <row r="41">
      <c r="B41" s="29">
        <f>'3. Impacto_Melhor_Local'!B5</f>
        <v/>
      </c>
      <c r="C41" s="29">
        <f>'3. Impacto_Melhor_Local'!A5</f>
        <v/>
      </c>
      <c r="D41" s="36">
        <f>'3. Impacto_Melhor_Local'!E5</f>
        <v/>
      </c>
      <c r="E41" s="36">
        <f>'3. Impacto_Melhor_Local'!F5</f>
        <v/>
      </c>
      <c r="F41" s="36">
        <f>'3. Impacto_Melhor_Local'!G5</f>
        <v/>
      </c>
    </row>
    <row r="42">
      <c r="B42" s="33">
        <f>'3. Impacto_Melhor_Local'!B6</f>
        <v/>
      </c>
      <c r="C42" s="33">
        <f>'3. Impacto_Melhor_Local'!A6</f>
        <v/>
      </c>
      <c r="D42" s="37">
        <f>'3. Impacto_Melhor_Local'!E6</f>
        <v/>
      </c>
      <c r="E42" s="37">
        <f>'3. Impacto_Melhor_Local'!F6</f>
        <v/>
      </c>
      <c r="F42" s="37">
        <f>'3. Impacto_Melhor_Local'!G6</f>
        <v/>
      </c>
    </row>
    <row r="43">
      <c r="B43" s="29">
        <f>'3. Impacto_Melhor_Local'!B7</f>
        <v/>
      </c>
      <c r="C43" s="29">
        <f>'3. Impacto_Melhor_Local'!A7</f>
        <v/>
      </c>
      <c r="D43" s="36">
        <f>'3. Impacto_Melhor_Local'!E7</f>
        <v/>
      </c>
      <c r="E43" s="36">
        <f>'3. Impacto_Melhor_Local'!F7</f>
        <v/>
      </c>
      <c r="F43" s="36">
        <f>'3. Impacto_Melhor_Local'!G7</f>
        <v/>
      </c>
    </row>
    <row r="44">
      <c r="B44" s="33">
        <f>'3. Impacto_Melhor_Local'!B8</f>
        <v/>
      </c>
      <c r="C44" s="33">
        <f>'3. Impacto_Melhor_Local'!A8</f>
        <v/>
      </c>
      <c r="D44" s="37">
        <f>'3. Impacto_Melhor_Local'!E8</f>
        <v/>
      </c>
      <c r="E44" s="37">
        <f>'3. Impacto_Melhor_Local'!F8</f>
        <v/>
      </c>
      <c r="F44" s="37">
        <f>'3. Impacto_Melhor_Local'!G8</f>
        <v/>
      </c>
    </row>
    <row r="45">
      <c r="B45" s="29">
        <f>'3. Impacto_Melhor_Local'!B9</f>
        <v/>
      </c>
      <c r="C45" s="29">
        <f>'3. Impacto_Melhor_Local'!A9</f>
        <v/>
      </c>
      <c r="D45" s="36">
        <f>'3. Impacto_Melhor_Local'!E9</f>
        <v/>
      </c>
      <c r="E45" s="36">
        <f>'3. Impacto_Melhor_Local'!F9</f>
        <v/>
      </c>
      <c r="F45" s="36">
        <f>'3. Impacto_Melhor_Local'!G9</f>
        <v/>
      </c>
    </row>
    <row r="46">
      <c r="B46" s="33">
        <f>'3. Impacto_Melhor_Local'!B10</f>
        <v/>
      </c>
      <c r="C46" s="33">
        <f>'3. Impacto_Melhor_Local'!A10</f>
        <v/>
      </c>
      <c r="D46" s="37">
        <f>'3. Impacto_Melhor_Local'!E10</f>
        <v/>
      </c>
      <c r="E46" s="37">
        <f>'3. Impacto_Melhor_Local'!F10</f>
        <v/>
      </c>
      <c r="F46" s="37">
        <f>'3. Impacto_Melhor_Local'!G10</f>
        <v/>
      </c>
    </row>
    <row r="47">
      <c r="B47" s="29">
        <f>'3. Impacto_Melhor_Local'!B11</f>
        <v/>
      </c>
      <c r="C47" s="29">
        <f>'3. Impacto_Melhor_Local'!A11</f>
        <v/>
      </c>
      <c r="D47" s="36">
        <f>'3. Impacto_Melhor_Local'!E11</f>
        <v/>
      </c>
      <c r="E47" s="36">
        <f>'3. Impacto_Melhor_Local'!F11</f>
        <v/>
      </c>
      <c r="F47" s="36">
        <f>'3. Impacto_Melhor_Local'!G11</f>
        <v/>
      </c>
    </row>
    <row r="48">
      <c r="B48" s="33">
        <f>'3. Impacto_Melhor_Local'!B12</f>
        <v/>
      </c>
      <c r="C48" s="33">
        <f>'3. Impacto_Melhor_Local'!A12</f>
        <v/>
      </c>
      <c r="D48" s="37">
        <f>'3. Impacto_Melhor_Local'!E12</f>
        <v/>
      </c>
      <c r="E48" s="37">
        <f>'3. Impacto_Melhor_Local'!F12</f>
        <v/>
      </c>
      <c r="F48" s="37">
        <f>'3. Impacto_Melhor_Local'!G12</f>
        <v/>
      </c>
    </row>
    <row r="49">
      <c r="B49" s="29">
        <f>'3. Impacto_Melhor_Local'!B13</f>
        <v/>
      </c>
      <c r="C49" s="29">
        <f>'3. Impacto_Melhor_Local'!A13</f>
        <v/>
      </c>
      <c r="D49" s="36">
        <f>'3. Impacto_Melhor_Local'!E13</f>
        <v/>
      </c>
      <c r="E49" s="36">
        <f>'3. Impacto_Melhor_Local'!F13</f>
        <v/>
      </c>
      <c r="F49" s="36">
        <f>'3. Impacto_Melhor_Local'!G13</f>
        <v/>
      </c>
    </row>
    <row r="50">
      <c r="B50" s="33">
        <f>'3. Impacto_Melhor_Local'!B14</f>
        <v/>
      </c>
      <c r="C50" s="33">
        <f>'3. Impacto_Melhor_Local'!A14</f>
        <v/>
      </c>
      <c r="D50" s="37">
        <f>'3. Impacto_Melhor_Local'!E14</f>
        <v/>
      </c>
      <c r="E50" s="37">
        <f>'3. Impacto_Melhor_Local'!F14</f>
        <v/>
      </c>
      <c r="F50" s="37">
        <f>'3. Impacto_Melhor_Local'!G14</f>
        <v/>
      </c>
    </row>
    <row r="51">
      <c r="B51" s="29">
        <f>'3. Impacto_Melhor_Local'!B15</f>
        <v/>
      </c>
      <c r="C51" s="29">
        <f>'3. Impacto_Melhor_Local'!A15</f>
        <v/>
      </c>
      <c r="D51" s="36">
        <f>'3. Impacto_Melhor_Local'!E15</f>
        <v/>
      </c>
      <c r="E51" s="36">
        <f>'3. Impacto_Melhor_Local'!F15</f>
        <v/>
      </c>
      <c r="F51" s="36">
        <f>'3. Impacto_Melhor_Local'!G15</f>
        <v/>
      </c>
    </row>
    <row r="52">
      <c r="B52" s="33">
        <f>'3. Impacto_Melhor_Local'!B16</f>
        <v/>
      </c>
      <c r="C52" s="33">
        <f>'3. Impacto_Melhor_Local'!A16</f>
        <v/>
      </c>
      <c r="D52" s="37">
        <f>'3. Impacto_Melhor_Local'!E16</f>
        <v/>
      </c>
      <c r="E52" s="37">
        <f>'3. Impacto_Melhor_Local'!F16</f>
        <v/>
      </c>
      <c r="F52" s="37">
        <f>'3. Impacto_Melhor_Local'!G16</f>
        <v/>
      </c>
    </row>
    <row r="53">
      <c r="B53" s="29">
        <f>'3. Impacto_Melhor_Local'!B17</f>
        <v/>
      </c>
      <c r="C53" s="29">
        <f>'3. Impacto_Melhor_Local'!A17</f>
        <v/>
      </c>
      <c r="D53" s="36">
        <f>'3. Impacto_Melhor_Local'!E17</f>
        <v/>
      </c>
      <c r="E53" s="36">
        <f>'3. Impacto_Melhor_Local'!F17</f>
        <v/>
      </c>
      <c r="F53" s="36">
        <f>'3. Impacto_Melhor_Local'!G17</f>
        <v/>
      </c>
    </row>
    <row r="56">
      <c r="H56" s="12" t="inlineStr">
        <is>
          <t>Usa o Novo Hospital</t>
        </is>
      </c>
      <c r="I56">
        <f>COUNTIF('3. Impacto_Melhor_Local'!I3:I69,"Sim")</f>
        <v/>
      </c>
    </row>
    <row r="57">
      <c r="H57" s="12" t="inlineStr">
        <is>
          <t>Mantém-se no H. de Faro</t>
        </is>
      </c>
      <c r="I57">
        <f>COUNTIF('3. Impacto_Melhor_Local'!I3:I69,"Não")</f>
        <v/>
      </c>
    </row>
    <row r="60">
      <c r="H60" s="12" t="inlineStr">
        <is>
          <t>Hospital</t>
        </is>
      </c>
      <c r="I60" s="12" t="inlineStr">
        <is>
          <t>Capacidade (camas)</t>
        </is>
      </c>
      <c r="J60" s="12" t="inlineStr">
        <is>
          <t>Procura Atribuída (camas)</t>
        </is>
      </c>
    </row>
    <row r="61">
      <c r="H61" t="inlineStr">
        <is>
          <t>Hospital de Faro (existente)</t>
        </is>
      </c>
      <c r="I61">
        <f>'1. Resumo'!C24</f>
        <v/>
      </c>
      <c r="J61">
        <f>'1. Resumo'!C27</f>
        <v/>
      </c>
    </row>
    <row r="62">
      <c r="H62" t="inlineStr">
        <is>
          <t>Novo Hospital (Portimão)</t>
        </is>
      </c>
      <c r="I62">
        <f>'1. Resumo'!C25</f>
        <v/>
      </c>
      <c r="J62">
        <f>'1. Resumo'!C26</f>
        <v/>
      </c>
    </row>
    <row r="68" ht="22" customHeight="1">
      <c r="B68" s="18" t="inlineStr">
        <is>
          <t>📈  GRÁFICO — Top 10 candidatos a nova localização (tempo médio, min)</t>
        </is>
      </c>
    </row>
    <row r="93" ht="22" customHeight="1">
      <c r="B93" s="18" t="inlineStr">
        <is>
          <t>📈  GRÁFICO — Top 15 freguesias com maior poupança de tempo (min)</t>
        </is>
      </c>
    </row>
    <row r="124" ht="22" customHeight="1">
      <c r="B124" s="18" t="inlineStr">
        <is>
          <t>📈  GRÁFICO — Freguesias que passam a usar o novo hospital</t>
        </is>
      </c>
      <c r="G124" s="18" t="inlineStr">
        <is>
          <t>📈  GRÁFICO — Capacidade vs. Procura atribuída (camas)</t>
        </is>
      </c>
    </row>
  </sheetData>
  <mergeCells count="32">
    <mergeCell ref="B9"/>
    <mergeCell ref="B5:J6"/>
    <mergeCell ref="D9"/>
    <mergeCell ref="F9"/>
    <mergeCell ref="I27:J27"/>
    <mergeCell ref="B124:E124"/>
    <mergeCell ref="H17:J17"/>
    <mergeCell ref="I26:J26"/>
    <mergeCell ref="G9"/>
    <mergeCell ref="I9"/>
    <mergeCell ref="B37:J37"/>
    <mergeCell ref="I25:J25"/>
    <mergeCell ref="I22:J22"/>
    <mergeCell ref="I28:J28"/>
    <mergeCell ref="B17:F17"/>
    <mergeCell ref="I18:J18"/>
    <mergeCell ref="B68:J68"/>
    <mergeCell ref="I21:J21"/>
    <mergeCell ref="H9"/>
    <mergeCell ref="J9"/>
    <mergeCell ref="I24:J24"/>
    <mergeCell ref="B37:F37"/>
    <mergeCell ref="I23:J23"/>
    <mergeCell ref="C9"/>
    <mergeCell ref="E9"/>
    <mergeCell ref="B3:J3"/>
    <mergeCell ref="I20:J20"/>
    <mergeCell ref="B93:J93"/>
    <mergeCell ref="I19:J19"/>
    <mergeCell ref="G124:J124"/>
    <mergeCell ref="B12:J12"/>
    <mergeCell ref="B2:J2"/>
  </mergeCells>
  <dataValidations count="1">
    <dataValidation sqref="C14" showDropDown="0" showInputMessage="0" showErrorMessage="0" allowBlank="0" errorTitle="Concelho inválido" error="Escolha um concelho da lista." type="list">
      <formula1>=$N$2:$N$17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34"/>
  <sheetViews>
    <sheetView workbookViewId="0">
      <selection activeCell="A1" sqref="A1"/>
    </sheetView>
  </sheetViews>
  <sheetFormatPr baseColWidth="8" defaultRowHeight="15"/>
  <cols>
    <col width="48" customWidth="1" min="2" max="2"/>
    <col width="24" customWidth="1" min="3" max="3"/>
  </cols>
  <sheetData>
    <row r="2">
      <c r="B2" s="1" t="inlineStr">
        <is>
          <t>MODELO 2 — LOCALIZAÇÃO ÓTIMA DE NOVO HOSPITAL NO ALGARVE (COM CAPACIDADE)</t>
        </is>
      </c>
    </row>
    <row r="3">
      <c r="B3" s="2" t="inlineStr">
        <is>
          <t>Ponderação por população: cada freguesia pesa Peso_i = População_i / População_total_Algarve. O modelo minimiza Σ Peso_i × Tempo_i (não a distância mínima 'no abstrato') — o critério já é 'onde estão as pessoas', não só a melhor localização geométrica. Ver detalhe por freguesia na folha '3. Impacto_Melhor_Local' (colunas Peso_Populacional_% e Tempo_Ponderado).</t>
        </is>
      </c>
    </row>
    <row r="4">
      <c r="B4" s="3" t="inlineStr"/>
    </row>
    <row r="5">
      <c r="B5" s="3" t="inlineStr">
        <is>
          <t>Nº de freguesias no Algarve</t>
        </is>
      </c>
      <c r="C5" t="n">
        <v>67</v>
      </c>
    </row>
    <row r="6">
      <c r="B6" s="3" t="inlineStr">
        <is>
          <t>População total do Algarve</t>
        </is>
      </c>
      <c r="C6" t="n">
        <v>467343</v>
      </c>
    </row>
    <row r="7">
      <c r="B7" s="3" t="inlineStr">
        <is>
          <t>Camas necessárias totais na região</t>
        </is>
      </c>
      <c r="C7" t="n">
        <v>707.1</v>
      </c>
    </row>
    <row r="8">
      <c r="B8" s="3" t="inlineStr"/>
    </row>
    <row r="9">
      <c r="B9" s="3" t="inlineStr">
        <is>
          <t>★ Melhor localização (Freguesia)</t>
        </is>
      </c>
      <c r="C9" t="inlineStr">
        <is>
          <t>Silves</t>
        </is>
      </c>
    </row>
    <row r="10">
      <c r="B10" s="3" t="inlineStr">
        <is>
          <t>★ Concelho</t>
        </is>
      </c>
      <c r="C10" t="inlineStr">
        <is>
          <t>Silves</t>
        </is>
      </c>
    </row>
    <row r="11">
      <c r="B11" s="3" t="inlineStr">
        <is>
          <t>★ Coordenadas (lat, lon)</t>
        </is>
      </c>
      <c r="C11" t="inlineStr">
        <is>
          <t>37.1757, -8.4405</t>
        </is>
      </c>
    </row>
    <row r="12">
      <c r="B12" s="3" t="inlineStr"/>
    </row>
    <row r="13">
      <c r="B13" s="3" t="inlineStr">
        <is>
          <t>Tempo médio ponderado ATUAL (só H. de Faro)</t>
        </is>
      </c>
      <c r="C13" t="n">
        <v>51.4</v>
      </c>
    </row>
    <row r="14">
      <c r="B14" s="3" t="inlineStr">
        <is>
          <t>Tempo médio ponderado COM novo hospital</t>
        </is>
      </c>
      <c r="C14" t="n">
        <v>37.7</v>
      </c>
    </row>
    <row r="15">
      <c r="B15" s="3" t="inlineStr">
        <is>
          <t>Redução de tempo médio (min)</t>
        </is>
      </c>
      <c r="C15" t="n">
        <v>13.7</v>
      </c>
    </row>
    <row r="16">
      <c r="B16" s="3" t="inlineStr"/>
    </row>
    <row r="17">
      <c r="B17" s="3" t="inlineStr">
        <is>
          <t>% freguesias críticas (&gt;60min) ATUAL</t>
        </is>
      </c>
      <c r="C17" t="n">
        <v>50.7</v>
      </c>
    </row>
    <row r="18">
      <c r="B18" s="3" t="inlineStr">
        <is>
          <t>% freguesias críticas (&gt;60min) COM novo hospital</t>
        </is>
      </c>
      <c r="C18" t="n">
        <v>25.4</v>
      </c>
    </row>
    <row r="19">
      <c r="B19" s="3" t="inlineStr"/>
    </row>
    <row r="20">
      <c r="B20" s="3" t="inlineStr">
        <is>
          <t>Freguesias que passam a usar o novo hospital</t>
        </is>
      </c>
      <c r="C20" t="n">
        <v>33</v>
      </c>
    </row>
    <row r="21">
      <c r="B21" s="3" t="inlineStr">
        <is>
          <t>População que passa a usar o novo hospital</t>
        </is>
      </c>
      <c r="C21" t="n">
        <v>217964</v>
      </c>
    </row>
    <row r="22">
      <c r="B22" s="3" t="inlineStr">
        <is>
          <t>% da população regional que muda</t>
        </is>
      </c>
      <c r="C22" t="n">
        <v>46.6</v>
      </c>
    </row>
    <row r="23">
      <c r="B23" s="3" t="inlineStr"/>
    </row>
    <row r="24">
      <c r="B24" s="3" t="inlineStr">
        <is>
          <t>Capacidade do Hospital de Faro (existente)</t>
        </is>
      </c>
      <c r="C24" t="n">
        <v>909.2</v>
      </c>
    </row>
    <row r="25">
      <c r="B25" s="3" t="inlineStr">
        <is>
          <t>Capacidade do novo hospital (assumida)</t>
        </is>
      </c>
      <c r="C25" t="n">
        <v>742</v>
      </c>
    </row>
    <row r="26">
      <c r="B26" s="3" t="inlineStr">
        <is>
          <t>Procura atribuída ao novo hospital</t>
        </is>
      </c>
      <c r="C26" t="n">
        <v>325.9</v>
      </c>
    </row>
    <row r="27">
      <c r="B27" s="3" t="inlineStr">
        <is>
          <t>Procura residual no Hospital de Faro</t>
        </is>
      </c>
      <c r="C27" t="n">
        <v>381.1</v>
      </c>
    </row>
    <row r="28">
      <c r="B28" s="3" t="inlineStr">
        <is>
          <t>Défice de camas ATUAL (região, só H. Faro)</t>
        </is>
      </c>
      <c r="C28" t="n">
        <v>0</v>
      </c>
    </row>
    <row r="29">
      <c r="B29" s="3" t="inlineStr">
        <is>
          <t>Défice de camas COM novo hospital</t>
        </is>
      </c>
      <c r="C29" t="n">
        <v>0</v>
      </c>
    </row>
    <row r="30">
      <c r="B30" s="3" t="inlineStr"/>
    </row>
    <row r="31">
      <c r="B31" s="3" t="inlineStr">
        <is>
          <t>Parâmetros do modelo</t>
        </is>
      </c>
    </row>
    <row r="32">
      <c r="B32" s="3" t="inlineStr">
        <is>
          <t>Velocidade assumida (km/h)</t>
        </is>
      </c>
      <c r="C32" t="n">
        <v>60</v>
      </c>
    </row>
    <row r="33">
      <c r="B33" s="3" t="inlineStr">
        <is>
          <t>Tempo fixo de acesso (min)</t>
        </is>
      </c>
      <c r="C33" t="n">
        <v>15</v>
      </c>
    </row>
    <row r="34">
      <c r="B34" s="3" t="inlineStr">
        <is>
          <t>Nº de candidatos avaliados</t>
        </is>
      </c>
      <c r="C34" t="n">
        <v>67</v>
      </c>
    </row>
  </sheetData>
  <mergeCells count="1">
    <mergeCell ref="B3: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28" customWidth="1" min="2" max="2"/>
    <col width="45" customWidth="1" min="3" max="3"/>
    <col width="11" customWidth="1" min="4" max="4"/>
    <col width="15" customWidth="1" min="5" max="5"/>
    <col width="16" customWidth="1" min="6" max="6"/>
    <col width="21" customWidth="1" min="7" max="7"/>
    <col width="14" customWidth="1" min="8" max="8"/>
    <col width="17" customWidth="1" min="9" max="9"/>
  </cols>
  <sheetData>
    <row r="1">
      <c r="A1" s="2" t="inlineStr">
        <is>
          <t>Ranking das 67 freguesias do Algarve como candidatas a novo hospital (742 camas) — menor custo = melhor</t>
        </is>
      </c>
    </row>
    <row r="2">
      <c r="A2" s="4" t="inlineStr">
        <is>
          <t>Ranking</t>
        </is>
      </c>
      <c r="B2" s="4" t="inlineStr">
        <is>
          <t>Concelho</t>
        </is>
      </c>
      <c r="C2" s="4" t="inlineStr">
        <is>
          <t>Freguesia</t>
        </is>
      </c>
      <c r="D2" s="4" t="inlineStr">
        <is>
          <t>Populacao</t>
        </is>
      </c>
      <c r="E2" s="4" t="inlineStr">
        <is>
          <t>Lat_Freguesia</t>
        </is>
      </c>
      <c r="F2" s="4" t="inlineStr">
        <is>
          <t>Long_Freguesia</t>
        </is>
      </c>
      <c r="G2" s="4" t="inlineStr">
        <is>
          <t>tempo_medio_se_aqui</t>
        </is>
      </c>
      <c r="H2" s="4" t="inlineStr">
        <is>
          <t>defice_camas</t>
        </is>
      </c>
      <c r="I2" s="4" t="inlineStr">
        <is>
          <t>custo_ponderado</t>
        </is>
      </c>
    </row>
    <row r="3">
      <c r="A3" t="n">
        <v>1</v>
      </c>
      <c r="B3" t="inlineStr">
        <is>
          <t>Silves</t>
        </is>
      </c>
      <c r="C3" t="inlineStr">
        <is>
          <t>Silves</t>
        </is>
      </c>
      <c r="D3" t="n">
        <v>10661</v>
      </c>
      <c r="E3" t="n">
        <v>37.1756655</v>
      </c>
      <c r="F3" t="n">
        <v>-8.4404647</v>
      </c>
      <c r="G3" t="n">
        <v>37.69</v>
      </c>
      <c r="H3" t="n">
        <v>0</v>
      </c>
      <c r="I3" t="n">
        <v>17614957</v>
      </c>
    </row>
    <row r="4">
      <c r="A4" t="n">
        <v>2</v>
      </c>
      <c r="B4" t="inlineStr">
        <is>
          <t>Lagoa</t>
        </is>
      </c>
      <c r="C4" t="inlineStr">
        <is>
          <t>Porches</t>
        </is>
      </c>
      <c r="D4" t="n">
        <v>2250</v>
      </c>
      <c r="E4" t="n">
        <v>37.1255179</v>
      </c>
      <c r="F4" t="n">
        <v>-8.3994888</v>
      </c>
      <c r="G4" t="n">
        <v>38.28</v>
      </c>
      <c r="H4" t="n">
        <v>0</v>
      </c>
      <c r="I4" t="n">
        <v>17889549</v>
      </c>
    </row>
    <row r="5">
      <c r="A5" t="n">
        <v>3</v>
      </c>
      <c r="B5" t="inlineStr">
        <is>
          <t>Lagos</t>
        </is>
      </c>
      <c r="C5" t="inlineStr">
        <is>
          <t>Odiáxere</t>
        </is>
      </c>
      <c r="D5" t="n">
        <v>3046</v>
      </c>
      <c r="E5" t="n">
        <v>37.1493422</v>
      </c>
      <c r="F5" t="n">
        <v>-8.655770499999999</v>
      </c>
      <c r="G5" t="n">
        <v>38.66</v>
      </c>
      <c r="H5" t="n">
        <v>0</v>
      </c>
      <c r="I5" t="n">
        <v>18065983</v>
      </c>
    </row>
    <row r="6">
      <c r="A6" t="n">
        <v>4</v>
      </c>
      <c r="B6" t="inlineStr">
        <is>
          <t>Portimão</t>
        </is>
      </c>
      <c r="C6" t="inlineStr">
        <is>
          <t>Portimão</t>
        </is>
      </c>
      <c r="D6" t="n">
        <v>49218</v>
      </c>
      <c r="E6" t="n">
        <v>37.1800317</v>
      </c>
      <c r="F6" t="n">
        <v>-8.531251599999999</v>
      </c>
      <c r="G6" t="n">
        <v>38.68</v>
      </c>
      <c r="H6" t="n">
        <v>0</v>
      </c>
      <c r="I6" t="n">
        <v>18076121</v>
      </c>
    </row>
    <row r="7">
      <c r="A7" t="n">
        <v>5</v>
      </c>
      <c r="B7" t="inlineStr">
        <is>
          <t>Portimão</t>
        </is>
      </c>
      <c r="C7" t="inlineStr">
        <is>
          <t>Mexilhoeira Grande</t>
        </is>
      </c>
      <c r="D7" t="n">
        <v>4313</v>
      </c>
      <c r="E7" t="n">
        <v>37.1541786</v>
      </c>
      <c r="F7" t="n">
        <v>-8.6096743</v>
      </c>
      <c r="G7" t="n">
        <v>38.76</v>
      </c>
      <c r="H7" t="n">
        <v>0</v>
      </c>
      <c r="I7" t="n">
        <v>18116163</v>
      </c>
    </row>
    <row r="8">
      <c r="A8" t="n">
        <v>6</v>
      </c>
      <c r="B8" t="inlineStr">
        <is>
          <t>Albufeira</t>
        </is>
      </c>
      <c r="C8" t="inlineStr">
        <is>
          <t>Guia</t>
        </is>
      </c>
      <c r="D8" t="n">
        <v>4758</v>
      </c>
      <c r="E8" t="n">
        <v>37.1270278</v>
      </c>
      <c r="F8" t="n">
        <v>-8.2996371</v>
      </c>
      <c r="G8" t="n">
        <v>38.93</v>
      </c>
      <c r="H8" t="n">
        <v>0</v>
      </c>
      <c r="I8" t="n">
        <v>18194237</v>
      </c>
    </row>
    <row r="9">
      <c r="A9" t="n">
        <v>7</v>
      </c>
      <c r="B9" t="inlineStr">
        <is>
          <t>Albufeira</t>
        </is>
      </c>
      <c r="C9" t="inlineStr">
        <is>
          <t>Ferreiras</t>
        </is>
      </c>
      <c r="D9" t="n">
        <v>7267</v>
      </c>
      <c r="E9" t="n">
        <v>37.1274139</v>
      </c>
      <c r="F9" t="n">
        <v>-8.243115</v>
      </c>
      <c r="G9" t="n">
        <v>39.06</v>
      </c>
      <c r="H9" t="n">
        <v>0</v>
      </c>
      <c r="I9" t="n">
        <v>18255205</v>
      </c>
    </row>
    <row r="10">
      <c r="A10" t="n">
        <v>8</v>
      </c>
      <c r="B10" t="inlineStr">
        <is>
          <t>Lagoa</t>
        </is>
      </c>
      <c r="C10" t="inlineStr">
        <is>
          <t>União das freguesias de Lagoa e Carvoeiro</t>
        </is>
      </c>
      <c r="D10" t="n">
        <v>10141</v>
      </c>
      <c r="E10" t="n">
        <v>37.1179428</v>
      </c>
      <c r="F10" t="n">
        <v>-8.4457434</v>
      </c>
      <c r="G10" t="n">
        <v>39.17</v>
      </c>
      <c r="H10" t="n">
        <v>0</v>
      </c>
      <c r="I10" t="n">
        <v>18305875</v>
      </c>
    </row>
    <row r="11">
      <c r="A11" t="n">
        <v>9</v>
      </c>
      <c r="B11" t="inlineStr">
        <is>
          <t>Silves</t>
        </is>
      </c>
      <c r="C11" t="inlineStr">
        <is>
          <t>União das freguesias de Alcantarilha e Pêra</t>
        </is>
      </c>
      <c r="D11" t="n">
        <v>4995</v>
      </c>
      <c r="E11" t="n">
        <v>37.1465341</v>
      </c>
      <c r="F11" t="n">
        <v>-8.3470002</v>
      </c>
      <c r="G11" t="n">
        <v>39.2</v>
      </c>
      <c r="H11" t="n">
        <v>0</v>
      </c>
      <c r="I11" t="n">
        <v>18319487</v>
      </c>
    </row>
    <row r="12">
      <c r="A12" t="n">
        <v>10</v>
      </c>
      <c r="B12" t="inlineStr">
        <is>
          <t>Silves</t>
        </is>
      </c>
      <c r="C12" t="inlineStr">
        <is>
          <t>Armação de Pêra</t>
        </is>
      </c>
      <c r="D12" t="n">
        <v>6003</v>
      </c>
      <c r="E12" t="n">
        <v>37.1042384</v>
      </c>
      <c r="F12" t="n">
        <v>-8.3627308</v>
      </c>
      <c r="G12" t="n">
        <v>39.39</v>
      </c>
      <c r="H12" t="n">
        <v>0</v>
      </c>
      <c r="I12" t="n">
        <v>18408635</v>
      </c>
    </row>
    <row r="13">
      <c r="A13" t="n">
        <v>11</v>
      </c>
      <c r="B13" t="inlineStr">
        <is>
          <t>Lagoa</t>
        </is>
      </c>
      <c r="C13" t="inlineStr">
        <is>
          <t>Ferragudo</t>
        </is>
      </c>
      <c r="D13" t="n">
        <v>1973</v>
      </c>
      <c r="E13" t="n">
        <v>37.1235893</v>
      </c>
      <c r="F13" t="n">
        <v>-8.5198921</v>
      </c>
      <c r="G13" t="n">
        <v>39.7</v>
      </c>
      <c r="H13" t="n">
        <v>0</v>
      </c>
      <c r="I13" t="n">
        <v>18554433</v>
      </c>
    </row>
    <row r="14">
      <c r="A14" t="n">
        <v>12</v>
      </c>
      <c r="B14" t="inlineStr">
        <is>
          <t>Lagoa</t>
        </is>
      </c>
      <c r="C14" t="inlineStr">
        <is>
          <t>União das freguesias de Estômbar e Parchal</t>
        </is>
      </c>
      <c r="D14" t="n">
        <v>9361</v>
      </c>
      <c r="E14" t="n">
        <v>37.1398709</v>
      </c>
      <c r="F14" t="n">
        <v>-8.4992942</v>
      </c>
      <c r="G14" t="n">
        <v>39.72</v>
      </c>
      <c r="H14" t="n">
        <v>0</v>
      </c>
      <c r="I14" t="n">
        <v>18564778</v>
      </c>
    </row>
    <row r="15">
      <c r="A15" t="n">
        <v>13</v>
      </c>
      <c r="B15" t="inlineStr">
        <is>
          <t>Lagos</t>
        </is>
      </c>
      <c r="C15" t="inlineStr">
        <is>
          <t>São Gonçalo de Lagos</t>
        </is>
      </c>
      <c r="D15" t="n">
        <v>23648</v>
      </c>
      <c r="E15" t="n">
        <v>37.1152752</v>
      </c>
      <c r="F15" t="n">
        <v>-8.6807398</v>
      </c>
      <c r="G15" t="n">
        <v>39.87</v>
      </c>
      <c r="H15" t="n">
        <v>0</v>
      </c>
      <c r="I15" t="n">
        <v>18634962</v>
      </c>
    </row>
    <row r="16">
      <c r="A16" t="n">
        <v>14</v>
      </c>
      <c r="B16" t="inlineStr">
        <is>
          <t>Silves</t>
        </is>
      </c>
      <c r="C16" t="inlineStr">
        <is>
          <t>União das freguesias de Algoz e Tunes</t>
        </is>
      </c>
      <c r="D16" t="n">
        <v>6837</v>
      </c>
      <c r="E16" t="n">
        <v>37.1728969</v>
      </c>
      <c r="F16" t="n">
        <v>-8.288457599999999</v>
      </c>
      <c r="G16" t="n">
        <v>40.08</v>
      </c>
      <c r="H16" t="n">
        <v>0</v>
      </c>
      <c r="I16" t="n">
        <v>18732849</v>
      </c>
    </row>
    <row r="17">
      <c r="A17" t="n">
        <v>15</v>
      </c>
      <c r="B17" t="inlineStr">
        <is>
          <t>Lagos</t>
        </is>
      </c>
      <c r="C17" t="inlineStr">
        <is>
          <t>União das freguesias de Bensafrim e Barão de São João</t>
        </is>
      </c>
      <c r="D17" t="n">
        <v>2445</v>
      </c>
      <c r="E17" t="n">
        <v>37.1558674</v>
      </c>
      <c r="F17" t="n">
        <v>-8.735561499999999</v>
      </c>
      <c r="G17" t="n">
        <v>40.09</v>
      </c>
      <c r="H17" t="n">
        <v>0</v>
      </c>
      <c r="I17" t="n">
        <v>18735280</v>
      </c>
    </row>
    <row r="18">
      <c r="A18" t="n">
        <v>16</v>
      </c>
      <c r="B18" t="inlineStr">
        <is>
          <t>Portimão</t>
        </is>
      </c>
      <c r="C18" t="inlineStr">
        <is>
          <t>Alvor</t>
        </is>
      </c>
      <c r="D18" t="n">
        <v>6314</v>
      </c>
      <c r="E18" t="n">
        <v>37.129109</v>
      </c>
      <c r="F18" t="n">
        <v>-8.5929383</v>
      </c>
      <c r="G18" t="n">
        <v>40.17</v>
      </c>
      <c r="H18" t="n">
        <v>0</v>
      </c>
      <c r="I18" t="n">
        <v>18773049</v>
      </c>
    </row>
    <row r="19">
      <c r="A19" t="n">
        <v>17</v>
      </c>
      <c r="B19" t="inlineStr">
        <is>
          <t>Albufeira</t>
        </is>
      </c>
      <c r="C19" t="inlineStr">
        <is>
          <t>Albufeira e Olhos de Água</t>
        </is>
      </c>
      <c r="D19" t="n">
        <v>28641</v>
      </c>
      <c r="E19" t="n">
        <v>37.0951659</v>
      </c>
      <c r="F19" t="n">
        <v>-8.2261747</v>
      </c>
      <c r="G19" t="n">
        <v>41.03</v>
      </c>
      <c r="H19" t="n">
        <v>0</v>
      </c>
      <c r="I19" t="n">
        <v>19177358</v>
      </c>
    </row>
    <row r="20">
      <c r="A20" t="n">
        <v>18</v>
      </c>
      <c r="B20" t="inlineStr">
        <is>
          <t>Loulé</t>
        </is>
      </c>
      <c r="C20" t="inlineStr">
        <is>
          <t>Boliqueime</t>
        </is>
      </c>
      <c r="D20" t="n">
        <v>4789</v>
      </c>
      <c r="E20" t="n">
        <v>37.1337939</v>
      </c>
      <c r="F20" t="n">
        <v>-8.157924299999999</v>
      </c>
      <c r="G20" t="n">
        <v>42.2</v>
      </c>
      <c r="H20" t="n">
        <v>0</v>
      </c>
      <c r="I20" t="n">
        <v>19719908</v>
      </c>
    </row>
    <row r="21">
      <c r="A21" t="n">
        <v>19</v>
      </c>
      <c r="B21" t="inlineStr">
        <is>
          <t>Lagos</t>
        </is>
      </c>
      <c r="C21" t="inlineStr">
        <is>
          <t>Luz</t>
        </is>
      </c>
      <c r="D21" t="n">
        <v>4355</v>
      </c>
      <c r="E21" t="n">
        <v>37.0873628</v>
      </c>
      <c r="F21" t="n">
        <v>-8.7283673</v>
      </c>
      <c r="G21" t="n">
        <v>42.22</v>
      </c>
      <c r="H21" t="n">
        <v>0</v>
      </c>
      <c r="I21" t="n">
        <v>19731755</v>
      </c>
    </row>
    <row r="22">
      <c r="A22" t="n">
        <v>20</v>
      </c>
      <c r="B22" t="inlineStr">
        <is>
          <t>Albufeira</t>
        </is>
      </c>
      <c r="C22" t="inlineStr">
        <is>
          <t>Paderne</t>
        </is>
      </c>
      <c r="D22" t="n">
        <v>3498</v>
      </c>
      <c r="E22" t="n">
        <v>37.1757542</v>
      </c>
      <c r="F22" t="n">
        <v>-8.203639000000001</v>
      </c>
      <c r="G22" t="n">
        <v>42.44</v>
      </c>
      <c r="H22" t="n">
        <v>0</v>
      </c>
      <c r="I22" t="n">
        <v>19831821</v>
      </c>
    </row>
    <row r="23">
      <c r="A23" t="n">
        <v>21</v>
      </c>
      <c r="B23" t="inlineStr">
        <is>
          <t>Silves</t>
        </is>
      </c>
      <c r="C23" t="inlineStr">
        <is>
          <t>São Bartolomeu de Messines</t>
        </is>
      </c>
      <c r="D23" t="n">
        <v>8157</v>
      </c>
      <c r="E23" t="n">
        <v>37.2560769</v>
      </c>
      <c r="F23" t="n">
        <v>-8.286900899999999</v>
      </c>
      <c r="G23" t="n">
        <v>42.57</v>
      </c>
      <c r="H23" t="n">
        <v>0</v>
      </c>
      <c r="I23" t="n">
        <v>19894023</v>
      </c>
    </row>
    <row r="24">
      <c r="A24" t="n">
        <v>22</v>
      </c>
      <c r="B24" t="inlineStr">
        <is>
          <t>Loulé</t>
        </is>
      </c>
      <c r="C24" t="inlineStr">
        <is>
          <t>Loulé (São Sebastião)</t>
        </is>
      </c>
      <c r="D24" t="n">
        <v>6807</v>
      </c>
      <c r="E24" t="n">
        <v>37.1455036</v>
      </c>
      <c r="F24" t="n">
        <v>-8.068336199999999</v>
      </c>
      <c r="G24" t="n">
        <v>43.7</v>
      </c>
      <c r="H24" t="n">
        <v>0</v>
      </c>
      <c r="I24" t="n">
        <v>20421074</v>
      </c>
    </row>
    <row r="25">
      <c r="A25" t="n">
        <v>23</v>
      </c>
      <c r="B25" t="inlineStr">
        <is>
          <t>Vila do Bispo</t>
        </is>
      </c>
      <c r="C25" t="inlineStr">
        <is>
          <t>Budens</t>
        </is>
      </c>
      <c r="D25" t="n">
        <v>1857</v>
      </c>
      <c r="E25" t="n">
        <v>37.0867092</v>
      </c>
      <c r="F25" t="n">
        <v>-8.8303759</v>
      </c>
      <c r="G25" t="n">
        <v>43.73</v>
      </c>
      <c r="H25" t="n">
        <v>0</v>
      </c>
      <c r="I25" t="n">
        <v>20437094</v>
      </c>
    </row>
    <row r="26">
      <c r="A26" t="n">
        <v>24</v>
      </c>
      <c r="B26" t="inlineStr">
        <is>
          <t>Vila do Bispo</t>
        </is>
      </c>
      <c r="C26" t="inlineStr">
        <is>
          <t>Barão de São Miguel</t>
        </is>
      </c>
      <c r="D26" t="n">
        <v>586</v>
      </c>
      <c r="E26" t="n">
        <v>37.1066275</v>
      </c>
      <c r="F26" t="n">
        <v>-8.7945671</v>
      </c>
      <c r="G26" t="n">
        <v>43.76</v>
      </c>
      <c r="H26" t="n">
        <v>0</v>
      </c>
      <c r="I26" t="n">
        <v>20450340</v>
      </c>
    </row>
    <row r="27">
      <c r="A27" t="n">
        <v>25</v>
      </c>
      <c r="B27" t="inlineStr">
        <is>
          <t>Loulé</t>
        </is>
      </c>
      <c r="C27" t="inlineStr">
        <is>
          <t>Almancil</t>
        </is>
      </c>
      <c r="D27" t="n">
        <v>11291</v>
      </c>
      <c r="E27" t="n">
        <v>37.0870572</v>
      </c>
      <c r="F27" t="n">
        <v>-8.0298056</v>
      </c>
      <c r="G27" t="n">
        <v>44.92</v>
      </c>
      <c r="H27" t="n">
        <v>0</v>
      </c>
      <c r="I27" t="n">
        <v>20994925</v>
      </c>
    </row>
    <row r="28">
      <c r="A28" t="n">
        <v>26</v>
      </c>
      <c r="B28" t="inlineStr">
        <is>
          <t>Loulé</t>
        </is>
      </c>
      <c r="C28" t="inlineStr">
        <is>
          <t>Loulé (São Clemente)</t>
        </is>
      </c>
      <c r="D28" t="n">
        <v>17930</v>
      </c>
      <c r="E28" t="n">
        <v>37.1371357</v>
      </c>
      <c r="F28" t="n">
        <v>-7.9980354</v>
      </c>
      <c r="G28" t="n">
        <v>45.59</v>
      </c>
      <c r="H28" t="n">
        <v>0</v>
      </c>
      <c r="I28" t="n">
        <v>21308383</v>
      </c>
    </row>
    <row r="29">
      <c r="A29" t="n">
        <v>27</v>
      </c>
      <c r="B29" t="inlineStr">
        <is>
          <t>Monchique</t>
        </is>
      </c>
      <c r="C29" t="inlineStr">
        <is>
          <t>Marmelete</t>
        </is>
      </c>
      <c r="D29" t="n">
        <v>698</v>
      </c>
      <c r="E29" t="n">
        <v>37.3106968</v>
      </c>
      <c r="F29" t="n">
        <v>-8.6680098</v>
      </c>
      <c r="G29" t="n">
        <v>46.01</v>
      </c>
      <c r="H29" t="n">
        <v>0</v>
      </c>
      <c r="I29" t="n">
        <v>21500427</v>
      </c>
    </row>
    <row r="30">
      <c r="A30" t="n">
        <v>28</v>
      </c>
      <c r="B30" t="inlineStr">
        <is>
          <t>Aljezur</t>
        </is>
      </c>
      <c r="C30" t="inlineStr">
        <is>
          <t>Bordeira</t>
        </is>
      </c>
      <c r="D30" t="n">
        <v>370</v>
      </c>
      <c r="E30" t="n">
        <v>37.1963904</v>
      </c>
      <c r="F30" t="n">
        <v>-8.861485200000001</v>
      </c>
      <c r="G30" t="n">
        <v>46.2</v>
      </c>
      <c r="H30" t="n">
        <v>0</v>
      </c>
      <c r="I30" t="n">
        <v>21592059</v>
      </c>
    </row>
    <row r="31">
      <c r="A31" t="n">
        <v>29</v>
      </c>
      <c r="B31" t="inlineStr">
        <is>
          <t>Monchique</t>
        </is>
      </c>
      <c r="C31" t="inlineStr">
        <is>
          <t>Alferce</t>
        </is>
      </c>
      <c r="D31" t="n">
        <v>391</v>
      </c>
      <c r="E31" t="n">
        <v>37.3335589</v>
      </c>
      <c r="F31" t="n">
        <v>-8.4893252</v>
      </c>
      <c r="G31" t="n">
        <v>46.23</v>
      </c>
      <c r="H31" t="n">
        <v>0</v>
      </c>
      <c r="I31" t="n">
        <v>21605893</v>
      </c>
    </row>
    <row r="32">
      <c r="A32" t="n">
        <v>30</v>
      </c>
      <c r="B32" t="inlineStr">
        <is>
          <t>Aljezur</t>
        </is>
      </c>
      <c r="C32" t="inlineStr">
        <is>
          <t>Aljezur</t>
        </is>
      </c>
      <c r="D32" t="n">
        <v>3455</v>
      </c>
      <c r="E32" t="n">
        <v>37.2999561</v>
      </c>
      <c r="F32" t="n">
        <v>-8.807035300000001</v>
      </c>
      <c r="G32" t="n">
        <v>46.28</v>
      </c>
      <c r="H32" t="n">
        <v>0</v>
      </c>
      <c r="I32" t="n">
        <v>21627844</v>
      </c>
    </row>
    <row r="33">
      <c r="A33" t="n">
        <v>31</v>
      </c>
      <c r="B33" t="inlineStr">
        <is>
          <t>Loulé</t>
        </is>
      </c>
      <c r="C33" t="inlineStr">
        <is>
          <t>Alte</t>
        </is>
      </c>
      <c r="D33" t="n">
        <v>1746</v>
      </c>
      <c r="E33" t="n">
        <v>37.2360568</v>
      </c>
      <c r="F33" t="n">
        <v>-8.175392199999999</v>
      </c>
      <c r="G33" t="n">
        <v>46.53</v>
      </c>
      <c r="H33" t="n">
        <v>0</v>
      </c>
      <c r="I33" t="n">
        <v>21745559</v>
      </c>
    </row>
    <row r="34">
      <c r="A34" t="n">
        <v>32</v>
      </c>
      <c r="B34" t="inlineStr">
        <is>
          <t>Loulé</t>
        </is>
      </c>
      <c r="C34" t="inlineStr">
        <is>
          <t>Quarteira</t>
        </is>
      </c>
      <c r="D34" t="n">
        <v>24420</v>
      </c>
      <c r="E34" t="n">
        <v>37.0712719</v>
      </c>
      <c r="F34" t="n">
        <v>-8.102259099999999</v>
      </c>
      <c r="G34" t="n">
        <v>46.54</v>
      </c>
      <c r="H34" t="n">
        <v>0</v>
      </c>
      <c r="I34" t="n">
        <v>21750308</v>
      </c>
    </row>
    <row r="35">
      <c r="A35" t="n">
        <v>33</v>
      </c>
      <c r="B35" t="inlineStr">
        <is>
          <t>Aljezur</t>
        </is>
      </c>
      <c r="C35" t="inlineStr">
        <is>
          <t>Rogil</t>
        </is>
      </c>
      <c r="D35" t="n">
        <v>1165</v>
      </c>
      <c r="E35" t="n">
        <v>37.3693701</v>
      </c>
      <c r="F35" t="n">
        <v>-8.8005564</v>
      </c>
      <c r="G35" t="n">
        <v>46.93</v>
      </c>
      <c r="H35" t="n">
        <v>0</v>
      </c>
      <c r="I35" t="n">
        <v>21934232</v>
      </c>
    </row>
    <row r="36">
      <c r="A36" t="n">
        <v>34</v>
      </c>
      <c r="B36" t="inlineStr">
        <is>
          <t>Vila do Bispo</t>
        </is>
      </c>
      <c r="C36" t="inlineStr">
        <is>
          <t>Vila do Bispo e Raposeira</t>
        </is>
      </c>
      <c r="D36" t="n">
        <v>1380</v>
      </c>
      <c r="E36" t="n">
        <v>37.1031234</v>
      </c>
      <c r="F36" t="n">
        <v>-8.905048600000001</v>
      </c>
      <c r="G36" t="n">
        <v>47.34</v>
      </c>
      <c r="H36" t="n">
        <v>0</v>
      </c>
      <c r="I36" t="n">
        <v>22124942</v>
      </c>
    </row>
    <row r="37">
      <c r="A37" t="n">
        <v>35</v>
      </c>
      <c r="B37" t="inlineStr">
        <is>
          <t>Faro</t>
        </is>
      </c>
      <c r="C37" t="inlineStr">
        <is>
          <t>Santa Bárbara de Nexe</t>
        </is>
      </c>
      <c r="D37" t="n">
        <v>4379</v>
      </c>
      <c r="E37" t="n">
        <v>37.1038292</v>
      </c>
      <c r="F37" t="n">
        <v>-7.9639131</v>
      </c>
      <c r="G37" t="n">
        <v>47.44</v>
      </c>
      <c r="H37" t="n">
        <v>0</v>
      </c>
      <c r="I37" t="n">
        <v>22169578</v>
      </c>
    </row>
    <row r="38">
      <c r="A38" t="n">
        <v>36</v>
      </c>
      <c r="B38" t="inlineStr">
        <is>
          <t>Vila do Bispo</t>
        </is>
      </c>
      <c r="C38" t="inlineStr">
        <is>
          <t>Sagres</t>
        </is>
      </c>
      <c r="D38" t="n">
        <v>1894</v>
      </c>
      <c r="E38" t="n">
        <v>37.0078288</v>
      </c>
      <c r="F38" t="n">
        <v>-8.941924</v>
      </c>
      <c r="G38" t="n">
        <v>47.76</v>
      </c>
      <c r="H38" t="n">
        <v>0</v>
      </c>
      <c r="I38" t="n">
        <v>22320155</v>
      </c>
    </row>
    <row r="39">
      <c r="A39" t="n">
        <v>37</v>
      </c>
      <c r="B39" t="inlineStr">
        <is>
          <t>Vila Real de Santo António</t>
        </is>
      </c>
      <c r="C39" t="inlineStr">
        <is>
          <t>Vila Nova de Cacela</t>
        </is>
      </c>
      <c r="D39" t="n">
        <v>3873</v>
      </c>
      <c r="E39" t="n">
        <v>37.1754658</v>
      </c>
      <c r="F39" t="n">
        <v>-7.5333882</v>
      </c>
      <c r="G39" t="n">
        <v>48.35</v>
      </c>
      <c r="H39" t="n">
        <v>0</v>
      </c>
      <c r="I39" t="n">
        <v>22598007</v>
      </c>
    </row>
    <row r="40">
      <c r="A40" t="n">
        <v>38</v>
      </c>
      <c r="B40" t="inlineStr">
        <is>
          <t>Monchique</t>
        </is>
      </c>
      <c r="C40" t="inlineStr">
        <is>
          <t>Monchique</t>
        </is>
      </c>
      <c r="D40" t="n">
        <v>4373</v>
      </c>
      <c r="E40" t="n">
        <v>37.329007</v>
      </c>
      <c r="F40" t="n">
        <v>-8.5837983</v>
      </c>
      <c r="G40" t="n">
        <v>48.43</v>
      </c>
      <c r="H40" t="n">
        <v>0</v>
      </c>
      <c r="I40" t="n">
        <v>22633853</v>
      </c>
    </row>
    <row r="41">
      <c r="A41" t="n">
        <v>39</v>
      </c>
      <c r="B41" t="inlineStr">
        <is>
          <t>Castro Marim</t>
        </is>
      </c>
      <c r="C41" t="inlineStr">
        <is>
          <t>Altura</t>
        </is>
      </c>
      <c r="D41" t="n">
        <v>2106</v>
      </c>
      <c r="E41" t="n">
        <v>37.1742065</v>
      </c>
      <c r="F41" t="n">
        <v>-7.4990705</v>
      </c>
      <c r="G41" t="n">
        <v>48.45</v>
      </c>
      <c r="H41" t="n">
        <v>0</v>
      </c>
      <c r="I41" t="n">
        <v>22641704</v>
      </c>
    </row>
    <row r="42">
      <c r="A42" t="n">
        <v>40</v>
      </c>
      <c r="B42" t="inlineStr">
        <is>
          <t>Castro Marim</t>
        </is>
      </c>
      <c r="C42" t="inlineStr">
        <is>
          <t>Castro Marim</t>
        </is>
      </c>
      <c r="D42" t="n">
        <v>3278</v>
      </c>
      <c r="E42" t="n">
        <v>37.1968019</v>
      </c>
      <c r="F42" t="n">
        <v>-7.4838536</v>
      </c>
      <c r="G42" t="n">
        <v>48.48</v>
      </c>
      <c r="H42" t="n">
        <v>0</v>
      </c>
      <c r="I42" t="n">
        <v>22656014</v>
      </c>
    </row>
    <row r="43">
      <c r="A43" t="n">
        <v>41</v>
      </c>
      <c r="B43" t="inlineStr">
        <is>
          <t>Aljezur</t>
        </is>
      </c>
      <c r="C43" t="inlineStr">
        <is>
          <t>Odeceixe</t>
        </is>
      </c>
      <c r="D43" t="n">
        <v>1055</v>
      </c>
      <c r="E43" t="n">
        <v>37.4332252</v>
      </c>
      <c r="F43" t="n">
        <v>-8.770198799999999</v>
      </c>
      <c r="G43" t="n">
        <v>48.55</v>
      </c>
      <c r="H43" t="n">
        <v>0</v>
      </c>
      <c r="I43" t="n">
        <v>22689978</v>
      </c>
    </row>
    <row r="44">
      <c r="A44" t="n">
        <v>42</v>
      </c>
      <c r="B44" t="inlineStr">
        <is>
          <t>Vila Real de Santo António</t>
        </is>
      </c>
      <c r="C44" t="inlineStr">
        <is>
          <t>Monte Gordo</t>
        </is>
      </c>
      <c r="D44" t="n">
        <v>3197</v>
      </c>
      <c r="E44" t="n">
        <v>37.1824461</v>
      </c>
      <c r="F44" t="n">
        <v>-7.451945</v>
      </c>
      <c r="G44" t="n">
        <v>48.56</v>
      </c>
      <c r="H44" t="n">
        <v>0</v>
      </c>
      <c r="I44" t="n">
        <v>22693014</v>
      </c>
    </row>
    <row r="45">
      <c r="A45" t="n">
        <v>43</v>
      </c>
      <c r="B45" t="inlineStr">
        <is>
          <t>Vila Real de Santo António</t>
        </is>
      </c>
      <c r="C45" t="inlineStr">
        <is>
          <t>Vila Real de Santo António</t>
        </is>
      </c>
      <c r="D45" t="n">
        <v>11754</v>
      </c>
      <c r="E45" t="n">
        <v>37.1997361</v>
      </c>
      <c r="F45" t="n">
        <v>-7.4214804</v>
      </c>
      <c r="G45" t="n">
        <v>48.67</v>
      </c>
      <c r="H45" t="n">
        <v>0</v>
      </c>
      <c r="I45" t="n">
        <v>22747389</v>
      </c>
    </row>
    <row r="46">
      <c r="A46" t="n">
        <v>44</v>
      </c>
      <c r="B46" t="inlineStr">
        <is>
          <t>Tavira</t>
        </is>
      </c>
      <c r="C46" t="inlineStr">
        <is>
          <t>União das freguesias de Tavira (Santa Maria e Santiago)</t>
        </is>
      </c>
      <c r="D46" t="n">
        <v>15432</v>
      </c>
      <c r="E46" t="n">
        <v>37.1918872</v>
      </c>
      <c r="F46" t="n">
        <v>-7.6769848</v>
      </c>
      <c r="G46" t="n">
        <v>48.92</v>
      </c>
      <c r="H46" t="n">
        <v>0</v>
      </c>
      <c r="I46" t="n">
        <v>22863063</v>
      </c>
    </row>
    <row r="47">
      <c r="A47" t="n">
        <v>45</v>
      </c>
      <c r="B47" t="inlineStr">
        <is>
          <t>Tavira</t>
        </is>
      </c>
      <c r="C47" t="inlineStr">
        <is>
          <t>Santa Catarina da Fonte do Bispo</t>
        </is>
      </c>
      <c r="D47" t="n">
        <v>1873</v>
      </c>
      <c r="E47" t="n">
        <v>37.1537192</v>
      </c>
      <c r="F47" t="n">
        <v>-7.78929</v>
      </c>
      <c r="G47" t="n">
        <v>48.95</v>
      </c>
      <c r="H47" t="n">
        <v>0</v>
      </c>
      <c r="I47" t="n">
        <v>22875084</v>
      </c>
    </row>
    <row r="48">
      <c r="A48" t="n">
        <v>46</v>
      </c>
      <c r="B48" t="inlineStr">
        <is>
          <t>Silves</t>
        </is>
      </c>
      <c r="C48" t="inlineStr">
        <is>
          <t>São Marcos da Serra</t>
        </is>
      </c>
      <c r="D48" t="n">
        <v>1113</v>
      </c>
      <c r="E48" t="n">
        <v>37.360692</v>
      </c>
      <c r="F48" t="n">
        <v>-8.376992700000001</v>
      </c>
      <c r="G48" t="n">
        <v>48.99</v>
      </c>
      <c r="H48" t="n">
        <v>0</v>
      </c>
      <c r="I48" t="n">
        <v>22893811</v>
      </c>
    </row>
    <row r="49">
      <c r="A49" t="n">
        <v>47</v>
      </c>
      <c r="B49" t="inlineStr">
        <is>
          <t>Olhão</t>
        </is>
      </c>
      <c r="C49" t="inlineStr">
        <is>
          <t>Quelfes</t>
        </is>
      </c>
      <c r="D49" t="n">
        <v>17253</v>
      </c>
      <c r="E49" t="n">
        <v>37.057783</v>
      </c>
      <c r="F49" t="n">
        <v>-7.8212531</v>
      </c>
      <c r="G49" t="n">
        <v>49.04</v>
      </c>
      <c r="H49" t="n">
        <v>0</v>
      </c>
      <c r="I49" t="n">
        <v>22920265</v>
      </c>
    </row>
    <row r="50">
      <c r="A50" t="n">
        <v>48</v>
      </c>
      <c r="B50" t="inlineStr">
        <is>
          <t>Tavira</t>
        </is>
      </c>
      <c r="C50" t="inlineStr">
        <is>
          <t>Santa Luzia</t>
        </is>
      </c>
      <c r="D50" t="n">
        <v>1589</v>
      </c>
      <c r="E50" t="n">
        <v>37.101742</v>
      </c>
      <c r="F50" t="n">
        <v>-7.6618346</v>
      </c>
      <c r="G50" t="n">
        <v>49.05</v>
      </c>
      <c r="H50" t="n">
        <v>0</v>
      </c>
      <c r="I50" t="n">
        <v>22922905</v>
      </c>
    </row>
    <row r="51">
      <c r="A51" t="n">
        <v>49</v>
      </c>
      <c r="B51" t="inlineStr">
        <is>
          <t>Tavira</t>
        </is>
      </c>
      <c r="C51" t="inlineStr">
        <is>
          <t>União das freguesias de Luz de Tavira e Santo Estêvão</t>
        </is>
      </c>
      <c r="D51" t="n">
        <v>4730</v>
      </c>
      <c r="E51" t="n">
        <v>37.1162363</v>
      </c>
      <c r="F51" t="n">
        <v>-7.7287407</v>
      </c>
      <c r="G51" t="n">
        <v>49.26</v>
      </c>
      <c r="H51" t="n">
        <v>0</v>
      </c>
      <c r="I51" t="n">
        <v>23023001</v>
      </c>
    </row>
    <row r="52">
      <c r="A52" t="n">
        <v>50</v>
      </c>
      <c r="B52" t="inlineStr">
        <is>
          <t>Olhão</t>
        </is>
      </c>
      <c r="C52" t="inlineStr">
        <is>
          <t>Olhão</t>
        </is>
      </c>
      <c r="D52" t="n">
        <v>14206</v>
      </c>
      <c r="E52" t="n">
        <v>37.0303947</v>
      </c>
      <c r="F52" t="n">
        <v>-7.8399819</v>
      </c>
      <c r="G52" t="n">
        <v>49.46</v>
      </c>
      <c r="H52" t="n">
        <v>0</v>
      </c>
      <c r="I52" t="n">
        <v>23113660</v>
      </c>
    </row>
    <row r="53">
      <c r="A53" t="n">
        <v>51</v>
      </c>
      <c r="B53" t="inlineStr">
        <is>
          <t>Castro Marim</t>
        </is>
      </c>
      <c r="C53" t="inlineStr">
        <is>
          <t>Azinhal</t>
        </is>
      </c>
      <c r="D53" t="n">
        <v>479</v>
      </c>
      <c r="E53" t="n">
        <v>37.28482</v>
      </c>
      <c r="F53" t="n">
        <v>-7.4641924</v>
      </c>
      <c r="G53" t="n">
        <v>49.51</v>
      </c>
      <c r="H53" t="n">
        <v>0</v>
      </c>
      <c r="I53" t="n">
        <v>23139760</v>
      </c>
    </row>
    <row r="54">
      <c r="A54" t="n">
        <v>52</v>
      </c>
      <c r="B54" t="inlineStr">
        <is>
          <t>Olhão</t>
        </is>
      </c>
      <c r="C54" t="inlineStr">
        <is>
          <t>União das freguesias de Moncarapacho e Fuseta</t>
        </is>
      </c>
      <c r="D54" t="n">
        <v>9267</v>
      </c>
      <c r="E54" t="n">
        <v>37.074951</v>
      </c>
      <c r="F54" t="n">
        <v>-7.781351</v>
      </c>
      <c r="G54" t="n">
        <v>49.52</v>
      </c>
      <c r="H54" t="n">
        <v>0</v>
      </c>
      <c r="I54" t="n">
        <v>23145128</v>
      </c>
    </row>
    <row r="55">
      <c r="A55" t="n">
        <v>53</v>
      </c>
      <c r="B55" t="inlineStr">
        <is>
          <t>Castro Marim</t>
        </is>
      </c>
      <c r="C55" t="inlineStr">
        <is>
          <t>Odeleite</t>
        </is>
      </c>
      <c r="D55" t="n">
        <v>576</v>
      </c>
      <c r="E55" t="n">
        <v>37.3342413</v>
      </c>
      <c r="F55" t="n">
        <v>-7.4888312</v>
      </c>
      <c r="G55" t="n">
        <v>49.62</v>
      </c>
      <c r="H55" t="n">
        <v>0</v>
      </c>
      <c r="I55" t="n">
        <v>23190782</v>
      </c>
    </row>
    <row r="56">
      <c r="A56" t="n">
        <v>54</v>
      </c>
      <c r="B56" t="inlineStr">
        <is>
          <t>Tavira</t>
        </is>
      </c>
      <c r="C56" t="inlineStr">
        <is>
          <t>União das freguesias de Conceição e Cabanas de Tavira</t>
        </is>
      </c>
      <c r="D56" t="n">
        <v>3428</v>
      </c>
      <c r="E56" t="n">
        <v>37.1975493</v>
      </c>
      <c r="F56" t="n">
        <v>-7.5970952</v>
      </c>
      <c r="G56" t="n">
        <v>49.88</v>
      </c>
      <c r="H56" t="n">
        <v>0</v>
      </c>
      <c r="I56" t="n">
        <v>23310926</v>
      </c>
    </row>
    <row r="57">
      <c r="A57" t="n">
        <v>55</v>
      </c>
      <c r="B57" t="inlineStr">
        <is>
          <t>Olhão</t>
        </is>
      </c>
      <c r="C57" t="inlineStr">
        <is>
          <t>Pechão</t>
        </is>
      </c>
      <c r="D57" t="n">
        <v>3888</v>
      </c>
      <c r="E57" t="n">
        <v>37.0575402</v>
      </c>
      <c r="F57" t="n">
        <v>-7.8716292</v>
      </c>
      <c r="G57" t="n">
        <v>49.97</v>
      </c>
      <c r="H57" t="n">
        <v>0</v>
      </c>
      <c r="I57" t="n">
        <v>23354870</v>
      </c>
    </row>
    <row r="58">
      <c r="A58" t="n">
        <v>56</v>
      </c>
      <c r="B58" t="inlineStr">
        <is>
          <t>Loulé</t>
        </is>
      </c>
      <c r="C58" t="inlineStr">
        <is>
          <t>Salir</t>
        </is>
      </c>
      <c r="D58" t="n">
        <v>2448</v>
      </c>
      <c r="E58" t="n">
        <v>37.2402028</v>
      </c>
      <c r="F58" t="n">
        <v>-8.045106199999999</v>
      </c>
      <c r="G58" t="n">
        <v>50.24</v>
      </c>
      <c r="H58" t="n">
        <v>0</v>
      </c>
      <c r="I58" t="n">
        <v>23480286</v>
      </c>
    </row>
    <row r="59">
      <c r="A59" t="n">
        <v>57</v>
      </c>
      <c r="B59" t="inlineStr">
        <is>
          <t>Faro</t>
        </is>
      </c>
      <c r="C59" t="inlineStr">
        <is>
          <t>Montenegro</t>
        </is>
      </c>
      <c r="D59" t="n">
        <v>8613</v>
      </c>
      <c r="E59" t="n">
        <v>37.0302757</v>
      </c>
      <c r="F59" t="n">
        <v>-7.9633071</v>
      </c>
      <c r="G59" t="n">
        <v>50.36</v>
      </c>
      <c r="H59" t="n">
        <v>0</v>
      </c>
      <c r="I59" t="n">
        <v>23535229</v>
      </c>
    </row>
    <row r="60">
      <c r="A60" t="n">
        <v>58</v>
      </c>
      <c r="B60" t="inlineStr">
        <is>
          <t>Loulé</t>
        </is>
      </c>
      <c r="C60" t="inlineStr">
        <is>
          <t>União de freguesias de Querença, Tôr e Benafim</t>
        </is>
      </c>
      <c r="D60" t="n">
        <v>2520</v>
      </c>
      <c r="E60" t="n">
        <v>37.19908</v>
      </c>
      <c r="F60" t="n">
        <v>-7.98725</v>
      </c>
      <c r="G60" t="n">
        <v>50.41</v>
      </c>
      <c r="H60" t="n">
        <v>0</v>
      </c>
      <c r="I60" t="n">
        <v>23557834</v>
      </c>
    </row>
    <row r="61">
      <c r="A61" t="n">
        <v>59</v>
      </c>
      <c r="B61" t="inlineStr">
        <is>
          <t>São Brás de Alportel</t>
        </is>
      </c>
      <c r="C61" t="inlineStr">
        <is>
          <t>São Brás de Alportel</t>
        </is>
      </c>
      <c r="D61" t="n">
        <v>11248</v>
      </c>
      <c r="E61" t="n">
        <v>37.195558</v>
      </c>
      <c r="F61" t="n">
        <v>-7.890763</v>
      </c>
      <c r="G61" t="n">
        <v>50.47</v>
      </c>
      <c r="H61" t="n">
        <v>0</v>
      </c>
      <c r="I61" t="n">
        <v>23588343</v>
      </c>
    </row>
    <row r="62">
      <c r="A62" t="n">
        <v>60</v>
      </c>
      <c r="B62" t="inlineStr">
        <is>
          <t>Tavira</t>
        </is>
      </c>
      <c r="C62" t="inlineStr">
        <is>
          <t>Cachopo</t>
        </is>
      </c>
      <c r="D62" t="n">
        <v>471</v>
      </c>
      <c r="E62" t="n">
        <v>37.3330794</v>
      </c>
      <c r="F62" t="n">
        <v>-7.8172643</v>
      </c>
      <c r="G62" t="n">
        <v>50.83</v>
      </c>
      <c r="H62" t="n">
        <v>0</v>
      </c>
      <c r="I62" t="n">
        <v>23755022</v>
      </c>
    </row>
    <row r="63">
      <c r="A63" t="n">
        <v>61</v>
      </c>
      <c r="B63" t="inlineStr">
        <is>
          <t>Alcoutim</t>
        </is>
      </c>
      <c r="C63" t="inlineStr">
        <is>
          <t>União das freguesias de Alcoutim e Pereiro</t>
        </is>
      </c>
      <c r="D63" t="n">
        <v>1110</v>
      </c>
      <c r="E63" t="n">
        <v>37.4490907</v>
      </c>
      <c r="F63" t="n">
        <v>-7.5483256</v>
      </c>
      <c r="G63" t="n">
        <v>50.84</v>
      </c>
      <c r="H63" t="n">
        <v>0</v>
      </c>
      <c r="I63" t="n">
        <v>23757572</v>
      </c>
    </row>
    <row r="64">
      <c r="A64" t="n">
        <v>62</v>
      </c>
      <c r="B64" t="inlineStr">
        <is>
          <t>Faro</t>
        </is>
      </c>
      <c r="C64" t="inlineStr">
        <is>
          <t>União das freguesias de Conceição e Estoi</t>
        </is>
      </c>
      <c r="D64" t="n">
        <v>8331</v>
      </c>
      <c r="E64" t="n">
        <v>37.0836637</v>
      </c>
      <c r="F64" t="n">
        <v>-7.8857442</v>
      </c>
      <c r="G64" t="n">
        <v>50.9</v>
      </c>
      <c r="H64" t="n">
        <v>0</v>
      </c>
      <c r="I64" t="n">
        <v>23786654</v>
      </c>
    </row>
    <row r="65">
      <c r="A65" t="n">
        <v>63</v>
      </c>
      <c r="B65" t="inlineStr">
        <is>
          <t>Alcoutim</t>
        </is>
      </c>
      <c r="C65" t="inlineStr">
        <is>
          <t>Giões</t>
        </is>
      </c>
      <c r="D65" t="n">
        <v>152</v>
      </c>
      <c r="E65" t="n">
        <v>37.4710082</v>
      </c>
      <c r="F65" t="n">
        <v>-7.6945414</v>
      </c>
      <c r="G65" t="n">
        <v>50.9</v>
      </c>
      <c r="H65" t="n">
        <v>0</v>
      </c>
      <c r="I65" t="n">
        <v>23786924</v>
      </c>
    </row>
    <row r="66">
      <c r="A66" t="n">
        <v>64</v>
      </c>
      <c r="B66" t="inlineStr">
        <is>
          <t>Alcoutim</t>
        </is>
      </c>
      <c r="C66" t="inlineStr">
        <is>
          <t>Martim Longo</t>
        </is>
      </c>
      <c r="D66" t="n">
        <v>928</v>
      </c>
      <c r="E66" t="n">
        <v>37.439678</v>
      </c>
      <c r="F66" t="n">
        <v>-7.7684167</v>
      </c>
      <c r="G66" t="n">
        <v>50.93</v>
      </c>
      <c r="H66" t="n">
        <v>0</v>
      </c>
      <c r="I66" t="n">
        <v>23801079</v>
      </c>
    </row>
    <row r="67">
      <c r="A67" t="n">
        <v>65</v>
      </c>
      <c r="B67" t="inlineStr">
        <is>
          <t>Alcoutim</t>
        </is>
      </c>
      <c r="C67" t="inlineStr">
        <is>
          <t>Vaqueiros</t>
        </is>
      </c>
      <c r="D67" t="n">
        <v>333</v>
      </c>
      <c r="E67" t="n">
        <v>37.3842457</v>
      </c>
      <c r="F67" t="n">
        <v>-7.7280788</v>
      </c>
      <c r="G67" t="n">
        <v>50.99</v>
      </c>
      <c r="H67" t="n">
        <v>0</v>
      </c>
      <c r="I67" t="n">
        <v>23828148</v>
      </c>
    </row>
    <row r="68">
      <c r="A68" t="n">
        <v>66</v>
      </c>
      <c r="B68" t="inlineStr">
        <is>
          <t>Faro</t>
        </is>
      </c>
      <c r="C68" t="inlineStr">
        <is>
          <t>União das freguesias de Faro (Sé e São Pedro)</t>
        </is>
      </c>
      <c r="D68" t="n">
        <v>46299</v>
      </c>
      <c r="E68" t="n">
        <v>37.0209569</v>
      </c>
      <c r="F68" t="n">
        <v>-7.9196714</v>
      </c>
      <c r="G68" t="n">
        <v>51.09</v>
      </c>
      <c r="H68" t="n">
        <v>0</v>
      </c>
      <c r="I68" t="n">
        <v>23876057</v>
      </c>
    </row>
    <row r="69">
      <c r="A69" t="n">
        <v>67</v>
      </c>
      <c r="B69" t="inlineStr">
        <is>
          <t>Loulé</t>
        </is>
      </c>
      <c r="C69" t="inlineStr">
        <is>
          <t>Ameixial</t>
        </is>
      </c>
      <c r="D69" t="n">
        <v>381</v>
      </c>
      <c r="E69" t="n">
        <v>37.3633642</v>
      </c>
      <c r="F69" t="n">
        <v>-7.9632188</v>
      </c>
      <c r="G69" t="n">
        <v>51.18</v>
      </c>
      <c r="H69" t="n">
        <v>0</v>
      </c>
      <c r="I69" t="n">
        <v>23919915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11" customWidth="1" min="3" max="3"/>
    <col width="20" customWidth="1" min="4" max="4"/>
    <col width="17" customWidth="1" min="5" max="5"/>
    <col width="29" customWidth="1" min="6" max="6"/>
    <col width="14" customWidth="1" min="7" max="7"/>
    <col width="22" customWidth="1" min="8" max="8"/>
    <col width="19" customWidth="1" min="9" max="9"/>
    <col width="21" customWidth="1" min="10" max="10"/>
    <col width="23" customWidth="1" min="11" max="11"/>
    <col width="22" customWidth="1" min="12" max="12"/>
    <col width="45" customWidth="1" min="14" max="14"/>
    <col width="14" customWidth="1" min="15" max="15"/>
  </cols>
  <sheetData>
    <row r="1">
      <c r="A1" s="2" t="inlineStr">
        <is>
          <t>Impacto se o novo hospital (742 camas) ficar em: Silves (Silves)  |  Peso_Populacional = População_da_freguesia / População_total_Algarve  |  Tempo_Ponderado = Peso_Populacional × Tempo  |  Σ Tempo_Ponderado (todas as freguesias) = tempo médio ponderado por população (ver Resumo e bloco de verificação à direita).</t>
        </is>
      </c>
    </row>
    <row r="2">
      <c r="A2" s="4" t="inlineStr">
        <is>
          <t>Concelho</t>
        </is>
      </c>
      <c r="B2" s="4" t="inlineStr">
        <is>
          <t>Freguesia</t>
        </is>
      </c>
      <c r="C2" s="4" t="inlineStr">
        <is>
          <t>Populacao</t>
        </is>
      </c>
      <c r="D2" s="4" t="inlineStr">
        <is>
          <t>Camas_Necessarias</t>
        </is>
      </c>
      <c r="E2" s="4" t="inlineStr">
        <is>
          <t>tempo_atual_min</t>
        </is>
      </c>
      <c r="F2" s="4" t="inlineStr">
        <is>
          <t>tempo_com_novo_hospital_min</t>
        </is>
      </c>
      <c r="G2" s="4" t="inlineStr">
        <is>
          <t>poupanca_min</t>
        </is>
      </c>
      <c r="H2" s="4" t="inlineStr">
        <is>
          <t>fracao_novo_hospital</t>
        </is>
      </c>
      <c r="I2" s="4" t="inlineStr">
        <is>
          <t>usa_novo_hospital</t>
        </is>
      </c>
      <c r="J2" s="4" t="inlineStr">
        <is>
          <t>Peso_Populacional_%</t>
        </is>
      </c>
      <c r="K2" s="4" t="inlineStr">
        <is>
          <t>Tempo_Ponderado_Atual</t>
        </is>
      </c>
      <c r="L2" s="4" t="inlineStr">
        <is>
          <t>Tempo_Ponderado_Novo</t>
        </is>
      </c>
      <c r="N2" s="2" t="inlineStr">
        <is>
          <t>Verificação — soma dos tempos ponderados (deve bater com a folha 1. Resumo)</t>
        </is>
      </c>
    </row>
    <row r="3">
      <c r="A3" t="inlineStr">
        <is>
          <t>Silves</t>
        </is>
      </c>
      <c r="B3" t="inlineStr">
        <is>
          <t>Silves</t>
        </is>
      </c>
      <c r="C3" t="n">
        <v>10661</v>
      </c>
      <c r="D3" t="n">
        <v>16.9882</v>
      </c>
      <c r="E3" t="n">
        <v>60.9</v>
      </c>
      <c r="F3" t="n">
        <v>15</v>
      </c>
      <c r="G3" t="n">
        <v>45.9</v>
      </c>
      <c r="H3" t="n">
        <v>1</v>
      </c>
      <c r="I3" t="inlineStr">
        <is>
          <t>Sim</t>
        </is>
      </c>
      <c r="J3" s="5" t="n">
        <v>0.0228</v>
      </c>
      <c r="K3" t="n">
        <v>1.388</v>
      </c>
      <c r="L3" t="n">
        <v>0.342</v>
      </c>
      <c r="N3" s="6" t="inlineStr">
        <is>
          <t>Σ Peso_Populacional (deve ser 100%)</t>
        </is>
      </c>
      <c r="O3" s="7">
        <f>SUM(J3:J69)</f>
        <v/>
      </c>
    </row>
    <row r="4">
      <c r="A4" t="inlineStr">
        <is>
          <t>Lagoa</t>
        </is>
      </c>
      <c r="B4" t="inlineStr">
        <is>
          <t>União das freguesias de Lagoa e Carvoeiro</t>
        </is>
      </c>
      <c r="C4" t="n">
        <v>10141</v>
      </c>
      <c r="D4" t="n">
        <v>15.1994</v>
      </c>
      <c r="E4" t="n">
        <v>64.5</v>
      </c>
      <c r="F4" t="n">
        <v>27.9</v>
      </c>
      <c r="G4" t="n">
        <v>36.6</v>
      </c>
      <c r="H4" t="n">
        <v>1</v>
      </c>
      <c r="I4" t="inlineStr">
        <is>
          <t>Sim</t>
        </is>
      </c>
      <c r="J4" s="5" t="n">
        <v>0.0217</v>
      </c>
      <c r="K4" t="n">
        <v>1.4</v>
      </c>
      <c r="L4" t="n">
        <v>0.605</v>
      </c>
      <c r="N4" s="6" t="inlineStr">
        <is>
          <t>Σ Tempo_Ponderado_Atual = Tempo médio ATUAL</t>
        </is>
      </c>
      <c r="O4" s="8">
        <f>ROUND(SUM(K3:K69),1)</f>
        <v/>
      </c>
    </row>
    <row r="5">
      <c r="A5" t="inlineStr">
        <is>
          <t>Lagoa</t>
        </is>
      </c>
      <c r="B5" t="inlineStr">
        <is>
          <t>União das freguesias de Estômbar e Parchal</t>
        </is>
      </c>
      <c r="C5" t="n">
        <v>9361</v>
      </c>
      <c r="D5" t="n">
        <v>13.4406</v>
      </c>
      <c r="E5" t="n">
        <v>67</v>
      </c>
      <c r="F5" t="n">
        <v>31.1</v>
      </c>
      <c r="G5" t="n">
        <v>35.9</v>
      </c>
      <c r="H5" t="n">
        <v>1</v>
      </c>
      <c r="I5" t="inlineStr">
        <is>
          <t>Sim</t>
        </is>
      </c>
      <c r="J5" s="5" t="n">
        <v>0.02</v>
      </c>
      <c r="K5" t="n">
        <v>1.342</v>
      </c>
      <c r="L5" t="n">
        <v>0.623</v>
      </c>
      <c r="N5" s="6" t="inlineStr">
        <is>
          <t>Σ Tempo_Ponderado_Novo = Tempo médio COM novo hospital</t>
        </is>
      </c>
      <c r="O5" s="8">
        <f>ROUND(SUM(L3:L69),1)</f>
        <v/>
      </c>
    </row>
    <row r="6">
      <c r="A6" t="inlineStr">
        <is>
          <t>Lagoa</t>
        </is>
      </c>
      <c r="B6" t="inlineStr">
        <is>
          <t>Ferragudo</t>
        </is>
      </c>
      <c r="C6" t="n">
        <v>1973</v>
      </c>
      <c r="D6" t="n">
        <v>3.586</v>
      </c>
      <c r="E6" t="n">
        <v>69</v>
      </c>
      <c r="F6" t="n">
        <v>33.1</v>
      </c>
      <c r="G6" t="n">
        <v>35.9</v>
      </c>
      <c r="H6" t="n">
        <v>1</v>
      </c>
      <c r="I6" t="inlineStr">
        <is>
          <t>Sim</t>
        </is>
      </c>
      <c r="J6" s="5" t="n">
        <v>0.0042</v>
      </c>
      <c r="K6" t="n">
        <v>0.291</v>
      </c>
      <c r="L6" t="n">
        <v>0.14</v>
      </c>
    </row>
    <row r="7">
      <c r="A7" t="inlineStr">
        <is>
          <t>Portimão</t>
        </is>
      </c>
      <c r="B7" t="inlineStr">
        <is>
          <t>Alvor</t>
        </is>
      </c>
      <c r="C7" t="n">
        <v>6314</v>
      </c>
      <c r="D7" t="n">
        <v>9.7585</v>
      </c>
      <c r="E7" t="n">
        <v>72.5</v>
      </c>
      <c r="F7" t="n">
        <v>37</v>
      </c>
      <c r="G7" t="n">
        <v>35.5</v>
      </c>
      <c r="H7" t="n">
        <v>1</v>
      </c>
      <c r="I7" t="inlineStr">
        <is>
          <t>Sim</t>
        </is>
      </c>
      <c r="J7" s="5" t="n">
        <v>0.0135</v>
      </c>
      <c r="K7" t="n">
        <v>0.98</v>
      </c>
      <c r="L7" t="n">
        <v>0.5</v>
      </c>
    </row>
    <row r="8">
      <c r="A8" t="inlineStr">
        <is>
          <t>Vila do Bispo</t>
        </is>
      </c>
      <c r="B8" t="inlineStr">
        <is>
          <t>Budens</t>
        </is>
      </c>
      <c r="C8" t="n">
        <v>1857</v>
      </c>
      <c r="D8" t="n">
        <v>3.209</v>
      </c>
      <c r="E8" t="n">
        <v>89.8</v>
      </c>
      <c r="F8" t="n">
        <v>54.2</v>
      </c>
      <c r="G8" t="n">
        <v>35.5</v>
      </c>
      <c r="H8" t="n">
        <v>1</v>
      </c>
      <c r="I8" t="inlineStr">
        <is>
          <t>Sim</t>
        </is>
      </c>
      <c r="J8" s="5" t="n">
        <v>0.004</v>
      </c>
      <c r="K8" t="n">
        <v>0.357</v>
      </c>
      <c r="L8" t="n">
        <v>0.215</v>
      </c>
    </row>
    <row r="9">
      <c r="A9" t="inlineStr">
        <is>
          <t>Vila do Bispo</t>
        </is>
      </c>
      <c r="B9" t="inlineStr">
        <is>
          <t>Sagres</t>
        </is>
      </c>
      <c r="C9" t="n">
        <v>1894</v>
      </c>
      <c r="D9" t="n">
        <v>3.1946</v>
      </c>
      <c r="E9" t="n">
        <v>105.9</v>
      </c>
      <c r="F9" t="n">
        <v>70.40000000000001</v>
      </c>
      <c r="G9" t="n">
        <v>35.5</v>
      </c>
      <c r="H9" t="n">
        <v>1</v>
      </c>
      <c r="I9" t="inlineStr">
        <is>
          <t>Sim</t>
        </is>
      </c>
      <c r="J9" s="5" t="n">
        <v>0.0041</v>
      </c>
      <c r="K9" t="n">
        <v>0.429</v>
      </c>
      <c r="L9" t="n">
        <v>0.285</v>
      </c>
    </row>
    <row r="10">
      <c r="A10" t="inlineStr">
        <is>
          <t>Lagos</t>
        </is>
      </c>
      <c r="B10" t="inlineStr">
        <is>
          <t>Luz</t>
        </is>
      </c>
      <c r="C10" t="n">
        <v>4355</v>
      </c>
      <c r="D10" t="n">
        <v>7.5072</v>
      </c>
      <c r="E10" t="n">
        <v>83.5</v>
      </c>
      <c r="F10" t="n">
        <v>47.9</v>
      </c>
      <c r="G10" t="n">
        <v>35.5</v>
      </c>
      <c r="H10" t="n">
        <v>1</v>
      </c>
      <c r="I10" t="inlineStr">
        <is>
          <t>Sim</t>
        </is>
      </c>
      <c r="J10" s="5" t="n">
        <v>0.009299999999999999</v>
      </c>
      <c r="K10" t="n">
        <v>0.778</v>
      </c>
      <c r="L10" t="n">
        <v>0.447</v>
      </c>
    </row>
    <row r="11">
      <c r="A11" t="inlineStr">
        <is>
          <t>Aljezur</t>
        </is>
      </c>
      <c r="B11" t="inlineStr">
        <is>
          <t>Odeceixe</t>
        </is>
      </c>
      <c r="C11" t="n">
        <v>1055</v>
      </c>
      <c r="D11" t="n">
        <v>1.6346</v>
      </c>
      <c r="E11" t="n">
        <v>109.6</v>
      </c>
      <c r="F11" t="n">
        <v>74</v>
      </c>
      <c r="G11" t="n">
        <v>35.5</v>
      </c>
      <c r="H11" t="n">
        <v>1</v>
      </c>
      <c r="I11" t="inlineStr">
        <is>
          <t>Sim</t>
        </is>
      </c>
      <c r="J11" s="5" t="n">
        <v>0.0023</v>
      </c>
      <c r="K11" t="n">
        <v>0.247</v>
      </c>
      <c r="L11" t="n">
        <v>0.167</v>
      </c>
    </row>
    <row r="12">
      <c r="A12" t="inlineStr">
        <is>
          <t>Aljezur</t>
        </is>
      </c>
      <c r="B12" t="inlineStr">
        <is>
          <t>Aljezur</t>
        </is>
      </c>
      <c r="C12" t="n">
        <v>3455</v>
      </c>
      <c r="D12" t="n">
        <v>5.4224</v>
      </c>
      <c r="E12" t="n">
        <v>97.8</v>
      </c>
      <c r="F12" t="n">
        <v>62.3</v>
      </c>
      <c r="G12" t="n">
        <v>35.5</v>
      </c>
      <c r="H12" t="n">
        <v>1</v>
      </c>
      <c r="I12" t="inlineStr">
        <is>
          <t>Sim</t>
        </is>
      </c>
      <c r="J12" s="5" t="n">
        <v>0.0074</v>
      </c>
      <c r="K12" t="n">
        <v>0.723</v>
      </c>
      <c r="L12" t="n">
        <v>0.461</v>
      </c>
    </row>
    <row r="13">
      <c r="A13" t="inlineStr">
        <is>
          <t>Aljezur</t>
        </is>
      </c>
      <c r="B13" t="inlineStr">
        <is>
          <t>Bordeira</t>
        </is>
      </c>
      <c r="C13" t="n">
        <v>370</v>
      </c>
      <c r="D13" t="n">
        <v>0.6365000000000001</v>
      </c>
      <c r="E13" t="n">
        <v>96.7</v>
      </c>
      <c r="F13" t="n">
        <v>61.2</v>
      </c>
      <c r="G13" t="n">
        <v>35.5</v>
      </c>
      <c r="H13" t="n">
        <v>1</v>
      </c>
      <c r="I13" t="inlineStr">
        <is>
          <t>Sim</t>
        </is>
      </c>
      <c r="J13" s="5" t="n">
        <v>0.0008</v>
      </c>
      <c r="K13" t="n">
        <v>0.077</v>
      </c>
      <c r="L13" t="n">
        <v>0.048</v>
      </c>
    </row>
    <row r="14">
      <c r="A14" t="inlineStr">
        <is>
          <t>Lagos</t>
        </is>
      </c>
      <c r="B14" t="inlineStr">
        <is>
          <t>União das freguesias de Bensafrim e Barão de São João</t>
        </is>
      </c>
      <c r="C14" t="n">
        <v>2445</v>
      </c>
      <c r="D14" t="n">
        <v>4.0999</v>
      </c>
      <c r="E14" t="n">
        <v>75.59999999999999</v>
      </c>
      <c r="F14" t="n">
        <v>40.1</v>
      </c>
      <c r="G14" t="n">
        <v>35.5</v>
      </c>
      <c r="H14" t="n">
        <v>1</v>
      </c>
      <c r="I14" t="inlineStr">
        <is>
          <t>Sim</t>
        </is>
      </c>
      <c r="J14" s="5" t="n">
        <v>0.0052</v>
      </c>
      <c r="K14" t="n">
        <v>0.396</v>
      </c>
      <c r="L14" t="n">
        <v>0.21</v>
      </c>
    </row>
    <row r="15">
      <c r="A15" t="inlineStr">
        <is>
          <t>Lagos</t>
        </is>
      </c>
      <c r="B15" t="inlineStr">
        <is>
          <t>São Gonçalo de Lagos</t>
        </is>
      </c>
      <c r="C15" t="n">
        <v>23648</v>
      </c>
      <c r="D15" t="n">
        <v>35.3364</v>
      </c>
      <c r="E15" t="n">
        <v>76.90000000000001</v>
      </c>
      <c r="F15" t="n">
        <v>41.4</v>
      </c>
      <c r="G15" t="n">
        <v>35.5</v>
      </c>
      <c r="H15" t="n">
        <v>1</v>
      </c>
      <c r="I15" t="inlineStr">
        <is>
          <t>Sim</t>
        </is>
      </c>
      <c r="J15" s="5" t="n">
        <v>0.0506</v>
      </c>
      <c r="K15" t="n">
        <v>3.891</v>
      </c>
      <c r="L15" t="n">
        <v>2.093</v>
      </c>
    </row>
    <row r="16">
      <c r="A16" t="inlineStr">
        <is>
          <t>Lagos</t>
        </is>
      </c>
      <c r="B16" t="inlineStr">
        <is>
          <t>Odiáxere</t>
        </is>
      </c>
      <c r="C16" t="n">
        <v>3046</v>
      </c>
      <c r="D16" t="n">
        <v>4.5686</v>
      </c>
      <c r="E16" t="n">
        <v>71.3</v>
      </c>
      <c r="F16" t="n">
        <v>35.8</v>
      </c>
      <c r="G16" t="n">
        <v>35.5</v>
      </c>
      <c r="H16" t="n">
        <v>1</v>
      </c>
      <c r="I16" t="inlineStr">
        <is>
          <t>Sim</t>
        </is>
      </c>
      <c r="J16" s="5" t="n">
        <v>0.0065</v>
      </c>
      <c r="K16" t="n">
        <v>0.465</v>
      </c>
      <c r="L16" t="n">
        <v>0.233</v>
      </c>
    </row>
    <row r="17">
      <c r="A17" t="inlineStr">
        <is>
          <t>Portimão</t>
        </is>
      </c>
      <c r="B17" t="inlineStr">
        <is>
          <t>Portimão</t>
        </is>
      </c>
      <c r="C17" t="n">
        <v>49218</v>
      </c>
      <c r="D17" t="n">
        <v>71.0715</v>
      </c>
      <c r="E17" t="n">
        <v>72</v>
      </c>
      <c r="F17" t="n">
        <v>36.5</v>
      </c>
      <c r="G17" t="n">
        <v>35.5</v>
      </c>
      <c r="H17" t="n">
        <v>1</v>
      </c>
      <c r="I17" t="inlineStr">
        <is>
          <t>Sim</t>
        </is>
      </c>
      <c r="J17" s="5" t="n">
        <v>0.1053</v>
      </c>
      <c r="K17" t="n">
        <v>7.582</v>
      </c>
      <c r="L17" t="n">
        <v>3.839</v>
      </c>
    </row>
    <row r="18">
      <c r="A18" t="inlineStr">
        <is>
          <t>Monchique</t>
        </is>
      </c>
      <c r="B18" t="inlineStr">
        <is>
          <t>Monchique</t>
        </is>
      </c>
      <c r="C18" t="n">
        <v>4373</v>
      </c>
      <c r="D18" t="n">
        <v>7.8841</v>
      </c>
      <c r="E18" t="n">
        <v>98.59999999999999</v>
      </c>
      <c r="F18" t="n">
        <v>63.1</v>
      </c>
      <c r="G18" t="n">
        <v>35.5</v>
      </c>
      <c r="H18" t="n">
        <v>1</v>
      </c>
      <c r="I18" t="inlineStr">
        <is>
          <t>Sim</t>
        </is>
      </c>
      <c r="J18" s="5" t="n">
        <v>0.0094</v>
      </c>
      <c r="K18" t="n">
        <v>0.923</v>
      </c>
      <c r="L18" t="n">
        <v>0.59</v>
      </c>
    </row>
    <row r="19">
      <c r="A19" t="inlineStr">
        <is>
          <t>Portimão</t>
        </is>
      </c>
      <c r="B19" t="inlineStr">
        <is>
          <t>Mexilhoeira Grande</t>
        </is>
      </c>
      <c r="C19" t="n">
        <v>4313</v>
      </c>
      <c r="D19" t="n">
        <v>7.1607</v>
      </c>
      <c r="E19" t="n">
        <v>70.3</v>
      </c>
      <c r="F19" t="n">
        <v>34.8</v>
      </c>
      <c r="G19" t="n">
        <v>35.5</v>
      </c>
      <c r="H19" t="n">
        <v>1</v>
      </c>
      <c r="I19" t="inlineStr">
        <is>
          <t>Sim</t>
        </is>
      </c>
      <c r="J19" s="5" t="n">
        <v>0.0092</v>
      </c>
      <c r="K19" t="n">
        <v>0.649</v>
      </c>
      <c r="L19" t="n">
        <v>0.321</v>
      </c>
    </row>
    <row r="20">
      <c r="A20" t="inlineStr">
        <is>
          <t>Monchique</t>
        </is>
      </c>
      <c r="B20" t="inlineStr">
        <is>
          <t>Marmelete</t>
        </is>
      </c>
      <c r="C20" t="n">
        <v>698</v>
      </c>
      <c r="D20" t="n">
        <v>1.4059</v>
      </c>
      <c r="E20" t="n">
        <v>93.7</v>
      </c>
      <c r="F20" t="n">
        <v>58.1</v>
      </c>
      <c r="G20" t="n">
        <v>35.5</v>
      </c>
      <c r="H20" t="n">
        <v>1</v>
      </c>
      <c r="I20" t="inlineStr">
        <is>
          <t>Sim</t>
        </is>
      </c>
      <c r="J20" s="5" t="n">
        <v>0.0015</v>
      </c>
      <c r="K20" t="n">
        <v>0.14</v>
      </c>
      <c r="L20" t="n">
        <v>0.08699999999999999</v>
      </c>
    </row>
    <row r="21">
      <c r="A21" t="inlineStr">
        <is>
          <t>Aljezur</t>
        </is>
      </c>
      <c r="B21" t="inlineStr">
        <is>
          <t>Rogil</t>
        </is>
      </c>
      <c r="C21" t="n">
        <v>1165</v>
      </c>
      <c r="D21" t="n">
        <v>2.0142</v>
      </c>
      <c r="E21" t="n">
        <v>100.9</v>
      </c>
      <c r="F21" t="n">
        <v>65.40000000000001</v>
      </c>
      <c r="G21" t="n">
        <v>35.5</v>
      </c>
      <c r="H21" t="n">
        <v>1</v>
      </c>
      <c r="I21" t="inlineStr">
        <is>
          <t>Sim</t>
        </is>
      </c>
      <c r="J21" s="5" t="n">
        <v>0.0025</v>
      </c>
      <c r="K21" t="n">
        <v>0.252</v>
      </c>
      <c r="L21" t="n">
        <v>0.163</v>
      </c>
    </row>
    <row r="22">
      <c r="A22" t="inlineStr">
        <is>
          <t>Vila do Bispo</t>
        </is>
      </c>
      <c r="B22" t="inlineStr">
        <is>
          <t>Vila do Bispo e Raposeira</t>
        </is>
      </c>
      <c r="C22" t="n">
        <v>1380</v>
      </c>
      <c r="D22" t="n">
        <v>2.1645</v>
      </c>
      <c r="E22" t="n">
        <v>105.3</v>
      </c>
      <c r="F22" t="n">
        <v>69.7</v>
      </c>
      <c r="G22" t="n">
        <v>35.5</v>
      </c>
      <c r="H22" t="n">
        <v>1</v>
      </c>
      <c r="I22" t="inlineStr">
        <is>
          <t>Sim</t>
        </is>
      </c>
      <c r="J22" s="5" t="n">
        <v>0.003</v>
      </c>
      <c r="K22" t="n">
        <v>0.311</v>
      </c>
      <c r="L22" t="n">
        <v>0.206</v>
      </c>
    </row>
    <row r="23">
      <c r="A23" t="inlineStr">
        <is>
          <t>Vila do Bispo</t>
        </is>
      </c>
      <c r="B23" t="inlineStr">
        <is>
          <t>Barão de São Miguel</t>
        </is>
      </c>
      <c r="C23" t="n">
        <v>586</v>
      </c>
      <c r="D23" t="n">
        <v>0.8508</v>
      </c>
      <c r="E23" t="n">
        <v>89.40000000000001</v>
      </c>
      <c r="F23" t="n">
        <v>53.8</v>
      </c>
      <c r="G23" t="n">
        <v>35.5</v>
      </c>
      <c r="H23" t="n">
        <v>1</v>
      </c>
      <c r="I23" t="inlineStr">
        <is>
          <t>Sim</t>
        </is>
      </c>
      <c r="J23" s="5" t="n">
        <v>0.0013</v>
      </c>
      <c r="K23" t="n">
        <v>0.112</v>
      </c>
      <c r="L23" t="n">
        <v>0.067</v>
      </c>
    </row>
    <row r="24">
      <c r="A24" t="inlineStr">
        <is>
          <t>Lagoa</t>
        </is>
      </c>
      <c r="B24" t="inlineStr">
        <is>
          <t>Porches</t>
        </is>
      </c>
      <c r="C24" t="n">
        <v>2250</v>
      </c>
      <c r="D24" t="n">
        <v>3.4758</v>
      </c>
      <c r="E24" t="n">
        <v>55.8</v>
      </c>
      <c r="F24" t="n">
        <v>25.8</v>
      </c>
      <c r="G24" t="n">
        <v>30</v>
      </c>
      <c r="H24" t="n">
        <v>1</v>
      </c>
      <c r="I24" t="inlineStr">
        <is>
          <t>Sim</t>
        </is>
      </c>
      <c r="J24" s="5" t="n">
        <v>0.0048</v>
      </c>
      <c r="K24" t="n">
        <v>0.269</v>
      </c>
      <c r="L24" t="n">
        <v>0.124</v>
      </c>
    </row>
    <row r="25">
      <c r="A25" t="inlineStr">
        <is>
          <t>Monchique</t>
        </is>
      </c>
      <c r="B25" t="inlineStr">
        <is>
          <t>Alferce</t>
        </is>
      </c>
      <c r="C25" t="n">
        <v>391</v>
      </c>
      <c r="D25" t="n">
        <v>0.7796</v>
      </c>
      <c r="E25" t="n">
        <v>84.8</v>
      </c>
      <c r="F25" t="n">
        <v>55.1</v>
      </c>
      <c r="G25" t="n">
        <v>29.7</v>
      </c>
      <c r="H25" t="n">
        <v>1</v>
      </c>
      <c r="I25" t="inlineStr">
        <is>
          <t>Sim</t>
        </is>
      </c>
      <c r="J25" s="5" t="n">
        <v>0.0008</v>
      </c>
      <c r="K25" t="n">
        <v>0.07099999999999999</v>
      </c>
      <c r="L25" t="n">
        <v>0.046</v>
      </c>
    </row>
    <row r="26">
      <c r="A26" t="inlineStr">
        <is>
          <t>Silves</t>
        </is>
      </c>
      <c r="B26" t="inlineStr">
        <is>
          <t>Armação de Pêra</t>
        </is>
      </c>
      <c r="C26" t="n">
        <v>6003</v>
      </c>
      <c r="D26" t="n">
        <v>8.3331</v>
      </c>
      <c r="E26" t="n">
        <v>57.5</v>
      </c>
      <c r="F26" t="n">
        <v>31</v>
      </c>
      <c r="G26" t="n">
        <v>26.5</v>
      </c>
      <c r="H26" t="n">
        <v>1</v>
      </c>
      <c r="I26" t="inlineStr">
        <is>
          <t>Sim</t>
        </is>
      </c>
      <c r="J26" s="5" t="n">
        <v>0.0128</v>
      </c>
      <c r="K26" t="n">
        <v>0.738</v>
      </c>
      <c r="L26" t="n">
        <v>0.398</v>
      </c>
    </row>
    <row r="27">
      <c r="A27" t="inlineStr">
        <is>
          <t>Silves</t>
        </is>
      </c>
      <c r="B27" t="inlineStr">
        <is>
          <t>União das freguesias de Alcantarilha e Pêra</t>
        </is>
      </c>
      <c r="C27" t="n">
        <v>4995</v>
      </c>
      <c r="D27" t="n">
        <v>7.6833</v>
      </c>
      <c r="E27" t="n">
        <v>55.4</v>
      </c>
      <c r="F27" t="n">
        <v>30.3</v>
      </c>
      <c r="G27" t="n">
        <v>25.1</v>
      </c>
      <c r="H27" t="n">
        <v>1</v>
      </c>
      <c r="I27" t="inlineStr">
        <is>
          <t>Sim</t>
        </is>
      </c>
      <c r="J27" s="5" t="n">
        <v>0.0107</v>
      </c>
      <c r="K27" t="n">
        <v>0.592</v>
      </c>
      <c r="L27" t="n">
        <v>0.324</v>
      </c>
    </row>
    <row r="28">
      <c r="A28" t="inlineStr">
        <is>
          <t>Silves</t>
        </is>
      </c>
      <c r="B28" t="inlineStr">
        <is>
          <t>União das freguesias de Algoz e Tunes</t>
        </is>
      </c>
      <c r="C28" t="n">
        <v>6837</v>
      </c>
      <c r="D28" t="n">
        <v>9.5555</v>
      </c>
      <c r="E28" t="n">
        <v>54.4</v>
      </c>
      <c r="F28" t="n">
        <v>34.5</v>
      </c>
      <c r="G28" t="n">
        <v>20</v>
      </c>
      <c r="H28" t="n">
        <v>1</v>
      </c>
      <c r="I28" t="inlineStr">
        <is>
          <t>Sim</t>
        </is>
      </c>
      <c r="J28" s="5" t="n">
        <v>0.0146</v>
      </c>
      <c r="K28" t="n">
        <v>0.797</v>
      </c>
      <c r="L28" t="n">
        <v>0.504</v>
      </c>
    </row>
    <row r="29">
      <c r="A29" t="inlineStr">
        <is>
          <t>Silves</t>
        </is>
      </c>
      <c r="B29" t="inlineStr">
        <is>
          <t>São Bartolomeu de Messines</t>
        </is>
      </c>
      <c r="C29" t="n">
        <v>8157</v>
      </c>
      <c r="D29" t="n">
        <v>13.9834</v>
      </c>
      <c r="E29" t="n">
        <v>54.1</v>
      </c>
      <c r="F29" t="n">
        <v>37</v>
      </c>
      <c r="G29" t="n">
        <v>17.1</v>
      </c>
      <c r="H29" t="n">
        <v>1</v>
      </c>
      <c r="I29" t="inlineStr">
        <is>
          <t>Sim</t>
        </is>
      </c>
      <c r="J29" s="5" t="n">
        <v>0.0175</v>
      </c>
      <c r="K29" t="n">
        <v>0.944</v>
      </c>
      <c r="L29" t="n">
        <v>0.646</v>
      </c>
    </row>
    <row r="30">
      <c r="A30" t="inlineStr">
        <is>
          <t>Silves</t>
        </is>
      </c>
      <c r="B30" t="inlineStr">
        <is>
          <t>São Marcos da Serra</t>
        </is>
      </c>
      <c r="C30" t="n">
        <v>1113</v>
      </c>
      <c r="D30" t="n">
        <v>2.3292</v>
      </c>
      <c r="E30" t="n">
        <v>66.59999999999999</v>
      </c>
      <c r="F30" t="n">
        <v>51.8</v>
      </c>
      <c r="G30" t="n">
        <v>14.8</v>
      </c>
      <c r="H30" t="n">
        <v>1</v>
      </c>
      <c r="I30" t="inlineStr">
        <is>
          <t>Sim</t>
        </is>
      </c>
      <c r="J30" s="5" t="n">
        <v>0.0024</v>
      </c>
      <c r="K30" t="n">
        <v>0.159</v>
      </c>
      <c r="L30" t="n">
        <v>0.123</v>
      </c>
    </row>
    <row r="31">
      <c r="A31" t="inlineStr">
        <is>
          <t>Albufeira</t>
        </is>
      </c>
      <c r="B31" t="inlineStr">
        <is>
          <t>Guia</t>
        </is>
      </c>
      <c r="C31" t="n">
        <v>4758</v>
      </c>
      <c r="D31" t="n">
        <v>6.745900000000001</v>
      </c>
      <c r="E31" t="n">
        <v>50.9</v>
      </c>
      <c r="F31" t="n">
        <v>36.5</v>
      </c>
      <c r="G31" t="n">
        <v>14.4</v>
      </c>
      <c r="H31" t="n">
        <v>1</v>
      </c>
      <c r="I31" t="inlineStr">
        <is>
          <t>Sim</t>
        </is>
      </c>
      <c r="J31" s="5" t="n">
        <v>0.0102</v>
      </c>
      <c r="K31" t="n">
        <v>0.518</v>
      </c>
      <c r="L31" t="n">
        <v>0.372</v>
      </c>
    </row>
    <row r="32">
      <c r="A32" t="inlineStr">
        <is>
          <t>Albufeira</t>
        </is>
      </c>
      <c r="B32" t="inlineStr">
        <is>
          <t>Albufeira e Olhos de Água</t>
        </is>
      </c>
      <c r="C32" t="n">
        <v>28641</v>
      </c>
      <c r="D32" t="n">
        <v>37.7312</v>
      </c>
      <c r="E32" t="n">
        <v>54.2</v>
      </c>
      <c r="F32" t="n">
        <v>41.5</v>
      </c>
      <c r="G32" t="n">
        <v>12.7</v>
      </c>
      <c r="H32" t="n">
        <v>1</v>
      </c>
      <c r="I32" t="inlineStr">
        <is>
          <t>Sim</t>
        </is>
      </c>
      <c r="J32" s="5" t="n">
        <v>0.0613</v>
      </c>
      <c r="K32" t="n">
        <v>3.325</v>
      </c>
      <c r="L32" t="n">
        <v>2.544</v>
      </c>
    </row>
    <row r="33">
      <c r="A33" t="inlineStr">
        <is>
          <t>Loulé</t>
        </is>
      </c>
      <c r="B33" t="inlineStr">
        <is>
          <t>Alte</t>
        </is>
      </c>
      <c r="C33" t="n">
        <v>1746</v>
      </c>
      <c r="D33" t="n">
        <v>3.54</v>
      </c>
      <c r="E33" t="n">
        <v>60.1</v>
      </c>
      <c r="F33" t="n">
        <v>47.5</v>
      </c>
      <c r="G33" t="n">
        <v>12.6</v>
      </c>
      <c r="H33" t="n">
        <v>1</v>
      </c>
      <c r="I33" t="inlineStr">
        <is>
          <t>Sim</t>
        </is>
      </c>
      <c r="J33" s="5" t="n">
        <v>0.0037</v>
      </c>
      <c r="K33" t="n">
        <v>0.224</v>
      </c>
      <c r="L33" t="n">
        <v>0.177</v>
      </c>
    </row>
    <row r="34">
      <c r="A34" t="inlineStr">
        <is>
          <t>Albufeira</t>
        </is>
      </c>
      <c r="B34" t="inlineStr">
        <is>
          <t>Ferreiras</t>
        </is>
      </c>
      <c r="C34" t="n">
        <v>7267</v>
      </c>
      <c r="D34" t="n">
        <v>9.0992</v>
      </c>
      <c r="E34" t="n">
        <v>50.2</v>
      </c>
      <c r="F34" t="n">
        <v>37.8</v>
      </c>
      <c r="G34" t="n">
        <v>12.4</v>
      </c>
      <c r="H34" t="n">
        <v>1</v>
      </c>
      <c r="I34" t="inlineStr">
        <is>
          <t>Sim</t>
        </is>
      </c>
      <c r="J34" s="5" t="n">
        <v>0.0155</v>
      </c>
      <c r="K34" t="n">
        <v>0.78</v>
      </c>
      <c r="L34" t="n">
        <v>0.588</v>
      </c>
    </row>
    <row r="35">
      <c r="A35" t="inlineStr">
        <is>
          <t>Albufeira</t>
        </is>
      </c>
      <c r="B35" t="inlineStr">
        <is>
          <t>Paderne</t>
        </is>
      </c>
      <c r="C35" t="n">
        <v>3498</v>
      </c>
      <c r="D35" t="n">
        <v>5.5259</v>
      </c>
      <c r="E35" t="n">
        <v>49.7</v>
      </c>
      <c r="F35" t="n">
        <v>43.7</v>
      </c>
      <c r="G35" t="n">
        <v>6.1</v>
      </c>
      <c r="H35" t="n">
        <v>1</v>
      </c>
      <c r="I35" t="inlineStr">
        <is>
          <t>Sim</t>
        </is>
      </c>
      <c r="J35" s="5" t="n">
        <v>0.0075</v>
      </c>
      <c r="K35" t="n">
        <v>0.372</v>
      </c>
      <c r="L35" t="n">
        <v>0.327</v>
      </c>
    </row>
    <row r="36">
      <c r="A36" t="inlineStr">
        <is>
          <t>Alcoutim</t>
        </is>
      </c>
      <c r="B36" t="inlineStr">
        <is>
          <t>Giões</t>
        </is>
      </c>
      <c r="C36" t="n">
        <v>152</v>
      </c>
      <c r="D36" t="n">
        <v>0.3547</v>
      </c>
      <c r="E36" t="n">
        <v>94.90000000000001</v>
      </c>
      <c r="F36" t="n">
        <v>94.90000000000001</v>
      </c>
      <c r="G36" t="n">
        <v>0</v>
      </c>
      <c r="H36" t="n">
        <v>0</v>
      </c>
      <c r="I36" t="inlineStr">
        <is>
          <t>Não</t>
        </is>
      </c>
      <c r="J36" s="5" t="n">
        <v>0.0003</v>
      </c>
      <c r="K36" t="n">
        <v>0.031</v>
      </c>
      <c r="L36" t="n">
        <v>0.031</v>
      </c>
    </row>
    <row r="37">
      <c r="A37" t="inlineStr">
        <is>
          <t>Alcoutim</t>
        </is>
      </c>
      <c r="B37" t="inlineStr">
        <is>
          <t>Vaqueiros</t>
        </is>
      </c>
      <c r="C37" t="n">
        <v>333</v>
      </c>
      <c r="D37" t="n">
        <v>0.8179000000000001</v>
      </c>
      <c r="E37" t="n">
        <v>89.7</v>
      </c>
      <c r="F37" t="n">
        <v>89.7</v>
      </c>
      <c r="G37" t="n">
        <v>0</v>
      </c>
      <c r="H37" t="n">
        <v>0</v>
      </c>
      <c r="I37" t="inlineStr">
        <is>
          <t>Não</t>
        </is>
      </c>
      <c r="J37" s="5" t="n">
        <v>0.0007</v>
      </c>
      <c r="K37" t="n">
        <v>0.064</v>
      </c>
      <c r="L37" t="n">
        <v>0.064</v>
      </c>
    </row>
    <row r="38">
      <c r="A38" t="inlineStr">
        <is>
          <t>Loulé</t>
        </is>
      </c>
      <c r="B38" t="inlineStr">
        <is>
          <t>Loulé (São Clemente)</t>
        </is>
      </c>
      <c r="C38" t="n">
        <v>17930</v>
      </c>
      <c r="D38" t="n">
        <v>25.4777</v>
      </c>
      <c r="E38" t="n">
        <v>34</v>
      </c>
      <c r="F38" t="n">
        <v>34</v>
      </c>
      <c r="G38" t="n">
        <v>0</v>
      </c>
      <c r="H38" t="n">
        <v>0</v>
      </c>
      <c r="I38" t="inlineStr">
        <is>
          <t>Não</t>
        </is>
      </c>
      <c r="J38" s="5" t="n">
        <v>0.0384</v>
      </c>
      <c r="K38" t="n">
        <v>1.304</v>
      </c>
      <c r="L38" t="n">
        <v>1.304</v>
      </c>
    </row>
    <row r="39">
      <c r="A39" t="inlineStr">
        <is>
          <t>Loulé</t>
        </is>
      </c>
      <c r="B39" t="inlineStr">
        <is>
          <t>Salir</t>
        </is>
      </c>
      <c r="C39" t="n">
        <v>2448</v>
      </c>
      <c r="D39" t="n">
        <v>4.728</v>
      </c>
      <c r="E39" t="n">
        <v>50.2</v>
      </c>
      <c r="F39" t="n">
        <v>50.2</v>
      </c>
      <c r="G39" t="n">
        <v>0</v>
      </c>
      <c r="H39" t="n">
        <v>0</v>
      </c>
      <c r="I39" t="inlineStr">
        <is>
          <t>Não</t>
        </is>
      </c>
      <c r="J39" s="5" t="n">
        <v>0.0052</v>
      </c>
      <c r="K39" t="n">
        <v>0.263</v>
      </c>
      <c r="L39" t="n">
        <v>0.263</v>
      </c>
    </row>
    <row r="40">
      <c r="A40" t="inlineStr">
        <is>
          <t>Loulé</t>
        </is>
      </c>
      <c r="B40" t="inlineStr">
        <is>
          <t>Quarteira</t>
        </is>
      </c>
      <c r="C40" t="n">
        <v>24420</v>
      </c>
      <c r="D40" t="n">
        <v>34.5038</v>
      </c>
      <c r="E40" t="n">
        <v>39.7</v>
      </c>
      <c r="F40" t="n">
        <v>39.7</v>
      </c>
      <c r="G40" t="n">
        <v>0</v>
      </c>
      <c r="H40" t="n">
        <v>0</v>
      </c>
      <c r="I40" t="inlineStr">
        <is>
          <t>Não</t>
        </is>
      </c>
      <c r="J40" s="5" t="n">
        <v>0.0523</v>
      </c>
      <c r="K40" t="n">
        <v>2.072</v>
      </c>
      <c r="L40" t="n">
        <v>2.072</v>
      </c>
    </row>
    <row r="41">
      <c r="A41" t="inlineStr">
        <is>
          <t>Loulé</t>
        </is>
      </c>
      <c r="B41" t="inlineStr">
        <is>
          <t>Boliqueime</t>
        </is>
      </c>
      <c r="C41" t="n">
        <v>4789</v>
      </c>
      <c r="D41" t="n">
        <v>7.656700000000001</v>
      </c>
      <c r="E41" t="n">
        <v>41.6</v>
      </c>
      <c r="F41" t="n">
        <v>41.6</v>
      </c>
      <c r="G41" t="n">
        <v>0</v>
      </c>
      <c r="H41" t="n">
        <v>0</v>
      </c>
      <c r="I41" t="inlineStr">
        <is>
          <t>Não</t>
        </is>
      </c>
      <c r="J41" s="5" t="n">
        <v>0.0102</v>
      </c>
      <c r="K41" t="n">
        <v>0.426</v>
      </c>
      <c r="L41" t="n">
        <v>0.426</v>
      </c>
    </row>
    <row r="42">
      <c r="A42" t="inlineStr">
        <is>
          <t>Loulé</t>
        </is>
      </c>
      <c r="B42" t="inlineStr">
        <is>
          <t>Ameixial</t>
        </is>
      </c>
      <c r="C42" t="n">
        <v>381</v>
      </c>
      <c r="D42" t="n">
        <v>0.9127000000000001</v>
      </c>
      <c r="E42" t="n">
        <v>65.40000000000001</v>
      </c>
      <c r="F42" t="n">
        <v>65.40000000000001</v>
      </c>
      <c r="G42" t="n">
        <v>0</v>
      </c>
      <c r="H42" t="n">
        <v>0</v>
      </c>
      <c r="I42" t="inlineStr">
        <is>
          <t>Não</t>
        </is>
      </c>
      <c r="J42" s="5" t="n">
        <v>0.0008</v>
      </c>
      <c r="K42" t="n">
        <v>0.053</v>
      </c>
      <c r="L42" t="n">
        <v>0.053</v>
      </c>
    </row>
    <row r="43">
      <c r="A43" t="inlineStr">
        <is>
          <t>Loulé</t>
        </is>
      </c>
      <c r="B43" t="inlineStr">
        <is>
          <t>Almancil</t>
        </is>
      </c>
      <c r="C43" t="n">
        <v>11291</v>
      </c>
      <c r="D43" t="n">
        <v>16.3273</v>
      </c>
      <c r="E43" t="n">
        <v>32.7</v>
      </c>
      <c r="F43" t="n">
        <v>32.7</v>
      </c>
      <c r="G43" t="n">
        <v>0</v>
      </c>
      <c r="H43" t="n">
        <v>0</v>
      </c>
      <c r="I43" t="inlineStr">
        <is>
          <t>Não</t>
        </is>
      </c>
      <c r="J43" s="5" t="n">
        <v>0.0242</v>
      </c>
      <c r="K43" t="n">
        <v>0.791</v>
      </c>
      <c r="L43" t="n">
        <v>0.791</v>
      </c>
    </row>
    <row r="44">
      <c r="A44" t="inlineStr">
        <is>
          <t>Faro</t>
        </is>
      </c>
      <c r="B44" t="inlineStr">
        <is>
          <t>União das freguesias de Faro (Sé e São Pedro)</t>
        </is>
      </c>
      <c r="C44" t="n">
        <v>46299</v>
      </c>
      <c r="D44" t="n">
        <v>66.5419</v>
      </c>
      <c r="E44" t="n">
        <v>18.1</v>
      </c>
      <c r="F44" t="n">
        <v>18.1</v>
      </c>
      <c r="G44" t="n">
        <v>0</v>
      </c>
      <c r="H44" t="n">
        <v>0</v>
      </c>
      <c r="I44" t="inlineStr">
        <is>
          <t>Não</t>
        </is>
      </c>
      <c r="J44" s="5" t="n">
        <v>0.09909999999999999</v>
      </c>
      <c r="K44" t="n">
        <v>1.791</v>
      </c>
      <c r="L44" t="n">
        <v>1.791</v>
      </c>
    </row>
    <row r="45">
      <c r="A45" t="inlineStr">
        <is>
          <t>Alcoutim</t>
        </is>
      </c>
      <c r="B45" t="inlineStr">
        <is>
          <t>Martim Longo</t>
        </is>
      </c>
      <c r="C45" t="n">
        <v>928</v>
      </c>
      <c r="D45" t="n">
        <v>1.9931</v>
      </c>
      <c r="E45" t="n">
        <v>89.09999999999999</v>
      </c>
      <c r="F45" t="n">
        <v>89.09999999999999</v>
      </c>
      <c r="G45" t="n">
        <v>0</v>
      </c>
      <c r="H45" t="n">
        <v>0</v>
      </c>
      <c r="I45" t="inlineStr">
        <is>
          <t>Não</t>
        </is>
      </c>
      <c r="J45" s="5" t="n">
        <v>0.002</v>
      </c>
      <c r="K45" t="n">
        <v>0.177</v>
      </c>
      <c r="L45" t="n">
        <v>0.177</v>
      </c>
    </row>
    <row r="46">
      <c r="A46" t="inlineStr">
        <is>
          <t>Alcoutim</t>
        </is>
      </c>
      <c r="B46" t="inlineStr">
        <is>
          <t>União das freguesias de Alcoutim e Pereiro</t>
        </is>
      </c>
      <c r="C46" t="n">
        <v>1110</v>
      </c>
      <c r="D46" t="n">
        <v>2.525</v>
      </c>
      <c r="E46" t="n">
        <v>92.8</v>
      </c>
      <c r="F46" t="n">
        <v>92.8</v>
      </c>
      <c r="G46" t="n">
        <v>0</v>
      </c>
      <c r="H46" t="n">
        <v>0</v>
      </c>
      <c r="I46" t="inlineStr">
        <is>
          <t>Não</t>
        </is>
      </c>
      <c r="J46" s="5" t="n">
        <v>0.0024</v>
      </c>
      <c r="K46" t="n">
        <v>0.22</v>
      </c>
      <c r="L46" t="n">
        <v>0.22</v>
      </c>
    </row>
    <row r="47">
      <c r="A47" t="inlineStr">
        <is>
          <t>Castro Marim</t>
        </is>
      </c>
      <c r="B47" t="inlineStr">
        <is>
          <t>Azinhal</t>
        </is>
      </c>
      <c r="C47" t="n">
        <v>479</v>
      </c>
      <c r="D47" t="n">
        <v>1.0626</v>
      </c>
      <c r="E47" t="n">
        <v>67.09999999999999</v>
      </c>
      <c r="F47" t="n">
        <v>67.09999999999999</v>
      </c>
      <c r="G47" t="n">
        <v>0</v>
      </c>
      <c r="H47" t="n">
        <v>0</v>
      </c>
      <c r="I47" t="inlineStr">
        <is>
          <t>Não</t>
        </is>
      </c>
      <c r="J47" s="5" t="n">
        <v>0.001</v>
      </c>
      <c r="K47" t="n">
        <v>0.06900000000000001</v>
      </c>
      <c r="L47" t="n">
        <v>0.06900000000000001</v>
      </c>
    </row>
    <row r="48">
      <c r="A48" t="inlineStr">
        <is>
          <t>Castro Marim</t>
        </is>
      </c>
      <c r="B48" t="inlineStr">
        <is>
          <t>Castro Marim</t>
        </is>
      </c>
      <c r="C48" t="n">
        <v>3278</v>
      </c>
      <c r="D48" t="n">
        <v>5.3266</v>
      </c>
      <c r="E48" t="n">
        <v>57.4</v>
      </c>
      <c r="F48" t="n">
        <v>57.4</v>
      </c>
      <c r="G48" t="n">
        <v>0</v>
      </c>
      <c r="H48" t="n">
        <v>0</v>
      </c>
      <c r="I48" t="inlineStr">
        <is>
          <t>Não</t>
        </is>
      </c>
      <c r="J48" s="5" t="n">
        <v>0.007</v>
      </c>
      <c r="K48" t="n">
        <v>0.402</v>
      </c>
      <c r="L48" t="n">
        <v>0.402</v>
      </c>
    </row>
    <row r="49">
      <c r="A49" t="inlineStr">
        <is>
          <t>Castro Marim</t>
        </is>
      </c>
      <c r="B49" t="inlineStr">
        <is>
          <t>Odeleite</t>
        </is>
      </c>
      <c r="C49" t="n">
        <v>576</v>
      </c>
      <c r="D49" t="n">
        <v>1.4782</v>
      </c>
      <c r="E49" t="n">
        <v>70.3</v>
      </c>
      <c r="F49" t="n">
        <v>70.3</v>
      </c>
      <c r="G49" t="n">
        <v>0</v>
      </c>
      <c r="H49" t="n">
        <v>0</v>
      </c>
      <c r="I49" t="inlineStr">
        <is>
          <t>Não</t>
        </is>
      </c>
      <c r="J49" s="5" t="n">
        <v>0.0012</v>
      </c>
      <c r="K49" t="n">
        <v>0.08699999999999999</v>
      </c>
      <c r="L49" t="n">
        <v>0.08699999999999999</v>
      </c>
    </row>
    <row r="50">
      <c r="A50" t="inlineStr">
        <is>
          <t>Castro Marim</t>
        </is>
      </c>
      <c r="B50" t="inlineStr">
        <is>
          <t>Altura</t>
        </is>
      </c>
      <c r="C50" t="n">
        <v>2106</v>
      </c>
      <c r="D50" t="n">
        <v>3.6267</v>
      </c>
      <c r="E50" t="n">
        <v>57.5</v>
      </c>
      <c r="F50" t="n">
        <v>57.5</v>
      </c>
      <c r="G50" t="n">
        <v>0</v>
      </c>
      <c r="H50" t="n">
        <v>0</v>
      </c>
      <c r="I50" t="inlineStr">
        <is>
          <t>Não</t>
        </is>
      </c>
      <c r="J50" s="5" t="n">
        <v>0.0045</v>
      </c>
      <c r="K50" t="n">
        <v>0.259</v>
      </c>
      <c r="L50" t="n">
        <v>0.259</v>
      </c>
    </row>
    <row r="51">
      <c r="A51" t="inlineStr">
        <is>
          <t>Faro</t>
        </is>
      </c>
      <c r="B51" t="inlineStr">
        <is>
          <t>Santa Bárbara de Nexe</t>
        </is>
      </c>
      <c r="C51" t="n">
        <v>4379</v>
      </c>
      <c r="D51" t="n">
        <v>7.6981</v>
      </c>
      <c r="E51" t="n">
        <v>31.7</v>
      </c>
      <c r="F51" t="n">
        <v>31.7</v>
      </c>
      <c r="G51" t="n">
        <v>0</v>
      </c>
      <c r="H51" t="n">
        <v>0</v>
      </c>
      <c r="I51" t="inlineStr">
        <is>
          <t>Não</t>
        </is>
      </c>
      <c r="J51" s="5" t="n">
        <v>0.0094</v>
      </c>
      <c r="K51" t="n">
        <v>0.297</v>
      </c>
      <c r="L51" t="n">
        <v>0.297</v>
      </c>
    </row>
    <row r="52">
      <c r="A52" t="inlineStr">
        <is>
          <t>Faro</t>
        </is>
      </c>
      <c r="B52" t="inlineStr">
        <is>
          <t>Montenegro</t>
        </is>
      </c>
      <c r="C52" t="n">
        <v>8613</v>
      </c>
      <c r="D52" t="n">
        <v>11.2393</v>
      </c>
      <c r="E52" t="n">
        <v>23</v>
      </c>
      <c r="F52" t="n">
        <v>23</v>
      </c>
      <c r="G52" t="n">
        <v>0</v>
      </c>
      <c r="H52" t="n">
        <v>0</v>
      </c>
      <c r="I52" t="inlineStr">
        <is>
          <t>Não</t>
        </is>
      </c>
      <c r="J52" s="5" t="n">
        <v>0.0184</v>
      </c>
      <c r="K52" t="n">
        <v>0.425</v>
      </c>
      <c r="L52" t="n">
        <v>0.425</v>
      </c>
    </row>
    <row r="53">
      <c r="A53" t="inlineStr">
        <is>
          <t>Faro</t>
        </is>
      </c>
      <c r="B53" t="inlineStr">
        <is>
          <t>União das freguesias de Conceição e Estoi</t>
        </is>
      </c>
      <c r="C53" t="n">
        <v>8331</v>
      </c>
      <c r="D53" t="n">
        <v>12.8793</v>
      </c>
      <c r="E53" t="n">
        <v>33.1</v>
      </c>
      <c r="F53" t="n">
        <v>33.1</v>
      </c>
      <c r="G53" t="n">
        <v>0</v>
      </c>
      <c r="H53" t="n">
        <v>0</v>
      </c>
      <c r="I53" t="inlineStr">
        <is>
          <t>Não</t>
        </is>
      </c>
      <c r="J53" s="5" t="n">
        <v>0.0178</v>
      </c>
      <c r="K53" t="n">
        <v>0.591</v>
      </c>
      <c r="L53" t="n">
        <v>0.591</v>
      </c>
    </row>
    <row r="54">
      <c r="A54" t="inlineStr">
        <is>
          <t>São Brás de Alportel</t>
        </is>
      </c>
      <c r="B54" t="inlineStr">
        <is>
          <t>São Brás de Alportel</t>
        </is>
      </c>
      <c r="C54" t="n">
        <v>11248</v>
      </c>
      <c r="D54" t="n">
        <v>17.9158</v>
      </c>
      <c r="E54" t="n">
        <v>46</v>
      </c>
      <c r="F54" t="n">
        <v>46</v>
      </c>
      <c r="G54" t="n">
        <v>0</v>
      </c>
      <c r="H54" t="n">
        <v>0</v>
      </c>
      <c r="I54" t="inlineStr">
        <is>
          <t>Não</t>
        </is>
      </c>
      <c r="J54" s="5" t="n">
        <v>0.0241</v>
      </c>
      <c r="K54" t="n">
        <v>1.106</v>
      </c>
      <c r="L54" t="n">
        <v>1.106</v>
      </c>
    </row>
    <row r="55">
      <c r="A55" t="inlineStr">
        <is>
          <t>Olhão</t>
        </is>
      </c>
      <c r="B55" t="inlineStr">
        <is>
          <t>União das freguesias de Moncarapacho e Fuseta</t>
        </is>
      </c>
      <c r="C55" t="n">
        <v>9267</v>
      </c>
      <c r="D55" t="n">
        <v>15.9742</v>
      </c>
      <c r="E55" t="n">
        <v>39.1</v>
      </c>
      <c r="F55" t="n">
        <v>39.1</v>
      </c>
      <c r="G55" t="n">
        <v>0</v>
      </c>
      <c r="H55" t="n">
        <v>0</v>
      </c>
      <c r="I55" t="inlineStr">
        <is>
          <t>Não</t>
        </is>
      </c>
      <c r="J55" s="5" t="n">
        <v>0.0198</v>
      </c>
      <c r="K55" t="n">
        <v>0.776</v>
      </c>
      <c r="L55" t="n">
        <v>0.776</v>
      </c>
    </row>
    <row r="56">
      <c r="A56" t="inlineStr">
        <is>
          <t>Olhão</t>
        </is>
      </c>
      <c r="B56" t="inlineStr">
        <is>
          <t>Pechão</t>
        </is>
      </c>
      <c r="C56" t="n">
        <v>3888</v>
      </c>
      <c r="D56" t="n">
        <v>5.447100000000001</v>
      </c>
      <c r="E56" t="n">
        <v>27.5</v>
      </c>
      <c r="F56" t="n">
        <v>27.5</v>
      </c>
      <c r="G56" t="n">
        <v>0</v>
      </c>
      <c r="H56" t="n">
        <v>0</v>
      </c>
      <c r="I56" t="inlineStr">
        <is>
          <t>Não</t>
        </is>
      </c>
      <c r="J56" s="5" t="n">
        <v>0.0083</v>
      </c>
      <c r="K56" t="n">
        <v>0.229</v>
      </c>
      <c r="L56" t="n">
        <v>0.229</v>
      </c>
    </row>
    <row r="57">
      <c r="A57" t="inlineStr">
        <is>
          <t>Loulé</t>
        </is>
      </c>
      <c r="B57" t="inlineStr">
        <is>
          <t>União de freguesias de Querença, Tôr e Benafim</t>
        </is>
      </c>
      <c r="C57" t="n">
        <v>2520</v>
      </c>
      <c r="D57" t="n">
        <v>5.1199</v>
      </c>
      <c r="E57" t="n">
        <v>44.2</v>
      </c>
      <c r="F57" t="n">
        <v>44.2</v>
      </c>
      <c r="G57" t="n">
        <v>0</v>
      </c>
      <c r="H57" t="n">
        <v>0</v>
      </c>
      <c r="I57" t="inlineStr">
        <is>
          <t>Não</t>
        </is>
      </c>
      <c r="J57" s="5" t="n">
        <v>0.0054</v>
      </c>
      <c r="K57" t="n">
        <v>0.238</v>
      </c>
      <c r="L57" t="n">
        <v>0.238</v>
      </c>
    </row>
    <row r="58">
      <c r="A58" t="inlineStr">
        <is>
          <t>Loulé</t>
        </is>
      </c>
      <c r="B58" t="inlineStr">
        <is>
          <t>Loulé (São Sebastião)</t>
        </is>
      </c>
      <c r="C58" t="n">
        <v>6807</v>
      </c>
      <c r="D58" t="n">
        <v>10.6861</v>
      </c>
      <c r="E58" t="n">
        <v>38.9</v>
      </c>
      <c r="F58" t="n">
        <v>38.9</v>
      </c>
      <c r="G58" t="n">
        <v>0</v>
      </c>
      <c r="H58" t="n">
        <v>0</v>
      </c>
      <c r="I58" t="inlineStr">
        <is>
          <t>Não</t>
        </is>
      </c>
      <c r="J58" s="5" t="n">
        <v>0.0146</v>
      </c>
      <c r="K58" t="n">
        <v>0.5669999999999999</v>
      </c>
      <c r="L58" t="n">
        <v>0.5669999999999999</v>
      </c>
    </row>
    <row r="59">
      <c r="A59" t="inlineStr">
        <is>
          <t>Olhão</t>
        </is>
      </c>
      <c r="B59" t="inlineStr">
        <is>
          <t>Olhão</t>
        </is>
      </c>
      <c r="C59" t="n">
        <v>14206</v>
      </c>
      <c r="D59" t="n">
        <v>21.3281</v>
      </c>
      <c r="E59" t="n">
        <v>26.3</v>
      </c>
      <c r="F59" t="n">
        <v>26.3</v>
      </c>
      <c r="G59" t="n">
        <v>0</v>
      </c>
      <c r="H59" t="n">
        <v>0</v>
      </c>
      <c r="I59" t="inlineStr">
        <is>
          <t>Não</t>
        </is>
      </c>
      <c r="J59" s="5" t="n">
        <v>0.0304</v>
      </c>
      <c r="K59" t="n">
        <v>0.8</v>
      </c>
      <c r="L59" t="n">
        <v>0.8</v>
      </c>
    </row>
    <row r="60">
      <c r="A60" t="inlineStr">
        <is>
          <t>Olhão</t>
        </is>
      </c>
      <c r="B60" t="inlineStr">
        <is>
          <t>Quelfes</t>
        </is>
      </c>
      <c r="C60" t="n">
        <v>17253</v>
      </c>
      <c r="D60" t="n">
        <v>23.2955</v>
      </c>
      <c r="E60" t="n">
        <v>29</v>
      </c>
      <c r="F60" t="n">
        <v>29</v>
      </c>
      <c r="G60" t="n">
        <v>0</v>
      </c>
      <c r="H60" t="n">
        <v>0</v>
      </c>
      <c r="I60" t="inlineStr">
        <is>
          <t>Não</t>
        </is>
      </c>
      <c r="J60" s="5" t="n">
        <v>0.0369</v>
      </c>
      <c r="K60" t="n">
        <v>1.072</v>
      </c>
      <c r="L60" t="n">
        <v>1.072</v>
      </c>
    </row>
    <row r="61">
      <c r="A61" t="inlineStr">
        <is>
          <t>Tavira</t>
        </is>
      </c>
      <c r="B61" t="inlineStr">
        <is>
          <t>Cachopo</t>
        </is>
      </c>
      <c r="C61" t="n">
        <v>471</v>
      </c>
      <c r="D61" t="n">
        <v>1.3128</v>
      </c>
      <c r="E61" t="n">
        <v>71.3</v>
      </c>
      <c r="F61" t="n">
        <v>71.3</v>
      </c>
      <c r="G61" t="n">
        <v>0</v>
      </c>
      <c r="H61" t="n">
        <v>0</v>
      </c>
      <c r="I61" t="inlineStr">
        <is>
          <t>Não</t>
        </is>
      </c>
      <c r="J61" s="5" t="n">
        <v>0.001</v>
      </c>
      <c r="K61" t="n">
        <v>0.07199999999999999</v>
      </c>
      <c r="L61" t="n">
        <v>0.07199999999999999</v>
      </c>
    </row>
    <row r="62">
      <c r="A62" t="inlineStr">
        <is>
          <t>Tavira</t>
        </is>
      </c>
      <c r="B62" t="inlineStr">
        <is>
          <t>União das freguesias de Luz de Tavira e Santo Estêvão</t>
        </is>
      </c>
      <c r="C62" t="n">
        <v>4730</v>
      </c>
      <c r="D62" t="n">
        <v>8.334</v>
      </c>
      <c r="E62" t="n">
        <v>48.2</v>
      </c>
      <c r="F62" t="n">
        <v>48.2</v>
      </c>
      <c r="G62" t="n">
        <v>0</v>
      </c>
      <c r="H62" t="n">
        <v>0</v>
      </c>
      <c r="I62" t="inlineStr">
        <is>
          <t>Não</t>
        </is>
      </c>
      <c r="J62" s="5" t="n">
        <v>0.0101</v>
      </c>
      <c r="K62" t="n">
        <v>0.488</v>
      </c>
      <c r="L62" t="n">
        <v>0.488</v>
      </c>
    </row>
    <row r="63">
      <c r="A63" t="inlineStr">
        <is>
          <t>Tavira</t>
        </is>
      </c>
      <c r="B63" t="inlineStr">
        <is>
          <t>União das freguesias de Conceição e Cabanas de Tavira</t>
        </is>
      </c>
      <c r="C63" t="n">
        <v>3428</v>
      </c>
      <c r="D63" t="n">
        <v>6.132</v>
      </c>
      <c r="E63" t="n">
        <v>65.90000000000001</v>
      </c>
      <c r="F63" t="n">
        <v>65.90000000000001</v>
      </c>
      <c r="G63" t="n">
        <v>0</v>
      </c>
      <c r="H63" t="n">
        <v>0</v>
      </c>
      <c r="I63" t="inlineStr">
        <is>
          <t>Não</t>
        </is>
      </c>
      <c r="J63" s="5" t="n">
        <v>0.0073</v>
      </c>
      <c r="K63" t="n">
        <v>0.483</v>
      </c>
      <c r="L63" t="n">
        <v>0.483</v>
      </c>
    </row>
    <row r="64">
      <c r="A64" t="inlineStr">
        <is>
          <t>Tavira</t>
        </is>
      </c>
      <c r="B64" t="inlineStr">
        <is>
          <t>Santa Luzia</t>
        </is>
      </c>
      <c r="C64" t="n">
        <v>1589</v>
      </c>
      <c r="D64" t="n">
        <v>2.7196</v>
      </c>
      <c r="E64" t="n">
        <v>49.3</v>
      </c>
      <c r="F64" t="n">
        <v>49.3</v>
      </c>
      <c r="G64" t="n">
        <v>0</v>
      </c>
      <c r="H64" t="n">
        <v>0</v>
      </c>
      <c r="I64" t="inlineStr">
        <is>
          <t>Não</t>
        </is>
      </c>
      <c r="J64" s="5" t="n">
        <v>0.0034</v>
      </c>
      <c r="K64" t="n">
        <v>0.168</v>
      </c>
      <c r="L64" t="n">
        <v>0.168</v>
      </c>
    </row>
    <row r="65">
      <c r="A65" t="inlineStr">
        <is>
          <t>Tavira</t>
        </is>
      </c>
      <c r="B65" t="inlineStr">
        <is>
          <t>Santa Catarina da Fonte do Bispo</t>
        </is>
      </c>
      <c r="C65" t="n">
        <v>1873</v>
      </c>
      <c r="D65" t="n">
        <v>3.7756</v>
      </c>
      <c r="E65" t="n">
        <v>42.5</v>
      </c>
      <c r="F65" t="n">
        <v>42.5</v>
      </c>
      <c r="G65" t="n">
        <v>0</v>
      </c>
      <c r="H65" t="n">
        <v>0</v>
      </c>
      <c r="I65" t="inlineStr">
        <is>
          <t>Não</t>
        </is>
      </c>
      <c r="J65" s="5" t="n">
        <v>0.004</v>
      </c>
      <c r="K65" t="n">
        <v>0.17</v>
      </c>
      <c r="L65" t="n">
        <v>0.17</v>
      </c>
    </row>
    <row r="66">
      <c r="A66" t="inlineStr">
        <is>
          <t>Tavira</t>
        </is>
      </c>
      <c r="B66" t="inlineStr">
        <is>
          <t>União das freguesias de Tavira (Santa Maria e Santiago)</t>
        </is>
      </c>
      <c r="C66" t="n">
        <v>15432</v>
      </c>
      <c r="D66" t="n">
        <v>24.25</v>
      </c>
      <c r="E66" t="n">
        <v>58.8</v>
      </c>
      <c r="F66" t="n">
        <v>58.8</v>
      </c>
      <c r="G66" t="n">
        <v>0</v>
      </c>
      <c r="H66" t="n">
        <v>0</v>
      </c>
      <c r="I66" t="inlineStr">
        <is>
          <t>Não</t>
        </is>
      </c>
      <c r="J66" s="5" t="n">
        <v>0.033</v>
      </c>
      <c r="K66" t="n">
        <v>1.94</v>
      </c>
      <c r="L66" t="n">
        <v>1.94</v>
      </c>
    </row>
    <row r="67">
      <c r="A67" t="inlineStr">
        <is>
          <t>Vila Real de Santo António</t>
        </is>
      </c>
      <c r="B67" t="inlineStr">
        <is>
          <t>Vila Nova de Cacela</t>
        </is>
      </c>
      <c r="C67" t="n">
        <v>3873</v>
      </c>
      <c r="D67" t="n">
        <v>6.6656</v>
      </c>
      <c r="E67" t="n">
        <v>56.9</v>
      </c>
      <c r="F67" t="n">
        <v>56.9</v>
      </c>
      <c r="G67" t="n">
        <v>0</v>
      </c>
      <c r="H67" t="n">
        <v>0</v>
      </c>
      <c r="I67" t="inlineStr">
        <is>
          <t>Não</t>
        </is>
      </c>
      <c r="J67" s="5" t="n">
        <v>0.0083</v>
      </c>
      <c r="K67" t="n">
        <v>0.471</v>
      </c>
      <c r="L67" t="n">
        <v>0.471</v>
      </c>
    </row>
    <row r="68">
      <c r="A68" t="inlineStr">
        <is>
          <t>Vila Real de Santo António</t>
        </is>
      </c>
      <c r="B68" t="inlineStr">
        <is>
          <t>Vila Real de Santo António</t>
        </is>
      </c>
      <c r="C68" t="n">
        <v>11754</v>
      </c>
      <c r="D68" t="n">
        <v>18.0905</v>
      </c>
      <c r="E68" t="n">
        <v>62.1</v>
      </c>
      <c r="F68" t="n">
        <v>62.1</v>
      </c>
      <c r="G68" t="n">
        <v>0</v>
      </c>
      <c r="H68" t="n">
        <v>0</v>
      </c>
      <c r="I68" t="inlineStr">
        <is>
          <t>Não</t>
        </is>
      </c>
      <c r="J68" s="5" t="n">
        <v>0.0252</v>
      </c>
      <c r="K68" t="n">
        <v>1.563</v>
      </c>
      <c r="L68" t="n">
        <v>1.563</v>
      </c>
    </row>
    <row r="69">
      <c r="A69" t="inlineStr">
        <is>
          <t>Vila Real de Santo António</t>
        </is>
      </c>
      <c r="B69" t="inlineStr">
        <is>
          <t>Monte Gordo</t>
        </is>
      </c>
      <c r="C69" t="n">
        <v>3197</v>
      </c>
      <c r="D69" t="n">
        <v>4.9502</v>
      </c>
      <c r="E69" t="n">
        <v>59.9</v>
      </c>
      <c r="F69" t="n">
        <v>59.9</v>
      </c>
      <c r="G69" t="n">
        <v>0</v>
      </c>
      <c r="H69" t="n">
        <v>0</v>
      </c>
      <c r="I69" t="inlineStr">
        <is>
          <t>Não</t>
        </is>
      </c>
      <c r="J69" s="5" t="n">
        <v>0.0068</v>
      </c>
      <c r="K69" t="n">
        <v>0.41</v>
      </c>
      <c r="L69" t="n">
        <v>0.41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2026-07-25T11:08:52Z</dcterms:created>
  <dcterms:modified xsi:type="dcterms:W3CDTF">2026-07-25T11:09:43Z</dcterms:modified>
</cp:coreProperties>
</file>